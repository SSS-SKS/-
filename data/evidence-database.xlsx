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drawings/drawing1.xml" ContentType="application/vnd.openxmlformats-officedocument.drawing+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abb200f5cad467f" /></Relationships>
</file>

<file path=xl/workbook.xml><?xml version="1.0" encoding="utf-8"?>
<x:workbook xmlns:x="http://schemas.openxmlformats.org/spreadsheetml/2006/main">
  <x:sheets>
    <x:sheet xmlns:r="http://schemas.openxmlformats.org/officeDocument/2006/relationships" name="资料导航" sheetId="1" r:id="Rff524a09eef54dbd"/>
    <x:sheet xmlns:r="http://schemas.openxmlformats.org/officeDocument/2006/relationships" name="资料总库" sheetId="2" r:id="R529c4e2d4d42409f"/>
    <x:sheet xmlns:r="http://schemas.openxmlformats.org/officeDocument/2006/relationships" name="政策条款" sheetId="3" r:id="R4f933676d7fa4164"/>
    <x:sheet xmlns:r="http://schemas.openxmlformats.org/officeDocument/2006/relationships" name="报送期限" sheetId="4" r:id="Rea5af59a00fb45a3"/>
    <x:sheet xmlns:r="http://schemas.openxmlformats.org/officeDocument/2006/relationships" name="图表数据" sheetId="5" r:id="Rf441b0b5fc7742f4"/>
    <x:sheet xmlns:r="http://schemas.openxmlformats.org/officeDocument/2006/relationships" name="图表来源" sheetId="6" r:id="Rb1100e5409bb4840"/>
    <x:sheet xmlns:r="http://schemas.openxmlformats.org/officeDocument/2006/relationships" name="文献评述" sheetId="7" r:id="Rfc6a3d4b68254e8b"/>
    <x:sheet xmlns:r="http://schemas.openxmlformats.org/officeDocument/2006/relationships" name="研究展望" sheetId="8" r:id="R606cec2261d54688"/>
    <x:sheet xmlns:r="http://schemas.openxmlformats.org/officeDocument/2006/relationships" name="格式核对" sheetId="9" r:id="R42b235aab50d4f6d"/>
    <x:sheet xmlns:r="http://schemas.openxmlformats.org/officeDocument/2006/relationships" name="条款编码" sheetId="10" r:id="R552c175790604da3"/>
    <x:sheet xmlns:r="http://schemas.openxmlformats.org/officeDocument/2006/relationships" name="期限统计" sheetId="11" r:id="Rbd839bb917024767"/>
    <x:sheet xmlns:r="http://schemas.openxmlformats.org/officeDocument/2006/relationships" name="模型参数" sheetId="12" r:id="Rdc5e97bfcee74563"/>
    <x:sheet xmlns:r="http://schemas.openxmlformats.org/officeDocument/2006/relationships" name="时滞情景" sheetId="13" r:id="R2809191a79b94428"/>
    <x:sheet xmlns:r="http://schemas.openxmlformats.org/officeDocument/2006/relationships" name="敏感性" sheetId="14" r:id="R27e619aac4324b0b"/>
    <x:sheet xmlns:r="http://schemas.openxmlformats.org/officeDocument/2006/relationships" name="政策更新" sheetId="15" r:id="Ra9e6a643c79248f7"/>
    <x:sheet xmlns:r="http://schemas.openxmlformats.org/officeDocument/2006/relationships" name="专利解析" sheetId="16" r:id="Red30a9668c99466f"/>
    <x:sheet xmlns:r="http://schemas.openxmlformats.org/officeDocument/2006/relationships" name="论证核对" sheetId="17" r:id="R19dce78adc73468a"/>
    <x:sheet xmlns:r="http://schemas.openxmlformats.org/officeDocument/2006/relationships" name="标准专题" sheetId="18" r:id="R9018fcd4b07d4bc0"/>
    <x:sheet xmlns:r="http://schemas.openxmlformats.org/officeDocument/2006/relationships" name="标准模型" sheetId="19" r:id="R59c0b49476014d9d"/>
    <x:sheet xmlns:r="http://schemas.openxmlformats.org/officeDocument/2006/relationships" name="标准情景" sheetId="20" r:id="R176bfe3042b14def"/>
    <x:sheet xmlns:r="http://schemas.openxmlformats.org/officeDocument/2006/relationships" name="行业结构" sheetId="21" r:id="Ra0ec230583b844b5"/>
    <x:sheet xmlns:r="http://schemas.openxmlformats.org/officeDocument/2006/relationships" name="图表借鉴" sheetId="22" r:id="Re4e03094496447e0"/>
  </x:sheets>
</x:workbook>
</file>

<file path=xl/sharedStrings.xml><?xml version="1.0" encoding="utf-8"?>
<x:sst xmlns:x="http://schemas.openxmlformats.org/spreadsheetml/2006/main"/>
</file>

<file path=xl/styles.xml><?xml version="1.0" encoding="utf-8"?>
<x:styleSheet xmlns:x="http://schemas.openxmlformats.org/spreadsheetml/2006/main">
  <x:numFmts count="9">
    <x:numFmt numFmtId="200" formatCode="0"/>
    <x:numFmt numFmtId="201" formatCode="yyyy-mm-dd"/>
    <x:numFmt numFmtId="202" formatCode="#,##0.0"/>
    <x:numFmt numFmtId="203" formatCode="0.0%"/>
    <x:numFmt numFmtId="204" formatCode="0.00"/>
    <x:numFmt numFmtId="205" formatCode="0.00%"/>
    <x:numFmt numFmtId="206" formatCode="0.0000"/>
    <x:numFmt numFmtId="207" formatCode="0.0000%"/>
    <x:numFmt numFmtId="208" formatCode="0.0"/>
  </x:numFmts>
  <x:fonts count="5">
    <x:font>
      <x:sz val="11"/>
      <x:name val="Carlito"/>
    </x:font>
    <x:font>
      <x:sz val="10"/>
      <x:color rgb="FF20262C"/>
      <x:name val="Noto Sans CJK SC"/>
    </x:font>
    <x:font>
      <x:b/>
      <x:sz val="10"/>
      <x:color rgb="FFFFFFFF"/>
      <x:name val="Noto Sans CJK SC"/>
    </x:font>
    <x:font>
      <x:b/>
      <x:sz val="15"/>
      <x:color rgb="FF20262C"/>
      <x:name val="Noto Sans CJK SC"/>
    </x:font>
    <x:font>
      <x:sz val="10"/>
      <x:name val="Noto Sans CJK SC"/>
    </x:font>
  </x:fonts>
  <x:fills count="6">
    <x:fill>
      <x:patternFill patternType="none"/>
    </x:fill>
    <x:fill>
      <x:patternFill patternType="gray125"/>
    </x:fill>
    <x:fill>
      <x:patternFill patternType="solid">
        <x:fgColor rgb="FF294C68"/>
      </x:patternFill>
    </x:fill>
    <x:fill>
      <x:patternFill patternType="solid">
        <x:fgColor rgb="FFE4F0DE"/>
      </x:patternFill>
    </x:fill>
    <x:fill>
      <x:patternFill patternType="solid">
        <x:fgColor rgb="FFE5F1E9"/>
      </x:patternFill>
    </x:fill>
    <x:fill>
      <x:patternFill patternType="solid">
        <x:fgColor rgb="FF294C68"/>
      </x:patternFill>
    </x:fill>
  </x:fills>
  <x:borders count="1">
    <x:border>
      <x:left/>
      <x:right/>
      <x:top/>
      <x:bottom/>
      <x:diagonal/>
    </x:border>
  </x:borders>
  <x:cellStyleXfs count="1">
    <x:xf numFmtId="0" fontId="0" fillId="0" borderId="0"/>
  </x:cellStyleXfs>
  <x:cellXfs count="4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horizontal="center"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0" fontId="1" fillId="0" borderId="0" xfId="0" applyNumberFormat="1" applyFont="1" applyFill="1" applyBorder="1" applyAlignment="1">
      <x:alignment horizontal="right" vertical="top" wrapText="1"/>
    </x:xf>
    <x:xf numFmtId="202" fontId="1" fillId="0" borderId="0" xfId="0" applyNumberFormat="1" applyFont="1" applyFill="1" applyBorder="1" applyAlignment="1">
      <x:alignment vertical="top" wrapText="1"/>
    </x:xf>
    <x:xf numFmtId="203" fontId="1" fillId="0" borderId="0" xfId="0" applyNumberFormat="1" applyFont="1" applyFill="1" applyBorder="1" applyAlignment="1">
      <x:alignment vertical="top" wrapText="1"/>
    </x:xf>
    <x:xf numFmtId="0" fontId="0" fillId="0" borderId="0" xfId="0" applyNumberFormat="1" applyFont="1" applyFill="1" applyBorder="1" applyAlignment="1">
      <x:alignment wrapText="0"/>
    </x:xf>
    <x:xf numFmtId="0" fontId="3"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1" fillId="0" borderId="0" xfId="0" applyNumberFormat="1" applyFont="1" applyFill="1" applyBorder="1" applyAlignment="1">
      <x:alignment vertical="center" wrapText="0"/>
    </x:xf>
    <x:xf numFmtId="0" fontId="0" fillId="0" borderId="0" xfId="0" applyNumberFormat="1" applyFont="1" applyFill="1" applyBorder="1" applyAlignment="1">
      <x:alignment wrapText="1"/>
    </x:xf>
    <x:xf numFmtId="203" fontId="0" fillId="0" borderId="0" xfId="0" applyNumberFormat="1" applyFont="1" applyFill="1" applyBorder="1"/>
    <x:xf numFmtId="204" fontId="0" fillId="0" borderId="0" xfId="0" applyNumberFormat="1" applyFont="1" applyFill="1" applyBorder="1"/>
    <x:xf numFmtId="205" fontId="0" fillId="0" borderId="0" xfId="0" applyNumberFormat="1" applyFont="1" applyFill="1" applyBorder="1"/>
    <x:xf numFmtId="0" fontId="1" fillId="3" borderId="0" xfId="0" applyNumberFormat="1" applyFont="1" applyFill="1" applyBorder="1" applyAlignment="1">
      <x:alignment vertical="top" wrapText="1"/>
    </x:xf>
    <x:xf numFmtId="206" fontId="1" fillId="0" borderId="0" xfId="0" applyNumberFormat="1" applyFont="1" applyFill="1" applyBorder="1" applyAlignment="1">
      <x:alignment vertical="top" wrapText="1"/>
    </x:xf>
    <x:xf numFmtId="207" fontId="1" fillId="0" borderId="0" xfId="0" applyNumberFormat="1" applyFont="1" applyFill="1" applyBorder="1" applyAlignment="1">
      <x:alignment vertical="top" wrapText="1"/>
    </x:xf>
    <x:xf numFmtId="205" fontId="1" fillId="0" borderId="0" xfId="0" applyNumberFormat="1" applyFont="1" applyFill="1" applyBorder="1" applyAlignment="1">
      <x:alignment vertical="top" wrapText="1"/>
    </x:xf>
    <x:xf numFmtId="206" fontId="1" fillId="4" borderId="0" xfId="0" applyNumberFormat="1" applyFont="1" applyFill="1" applyBorder="1" applyAlignment="1">
      <x:alignment vertical="top" wrapText="1"/>
    </x:xf>
    <x:xf numFmtId="205" fontId="1" fillId="4"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2" fontId="1" fillId="0" borderId="0" xfId="0" applyNumberFormat="1" applyFont="1" applyFill="1" applyBorder="1" applyAlignment="1">
      <x:alignment vertical="center" wrapText="1"/>
    </x:xf>
    <x:xf numFmtId="203" fontId="1" fillId="0" borderId="0"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0" fillId="0" borderId="0" xfId="0" applyNumberFormat="1" applyFont="1" applyFill="1" applyBorder="1" applyAlignment="1">
      <x:alignment vertical="center" wrapText="1"/>
    </x:xf>
    <x:xf numFmtId="202" fontId="0" fillId="0" borderId="0" xfId="0" applyNumberFormat="1" applyFont="1" applyFill="1" applyBorder="1" applyAlignment="1">
      <x:alignment vertical="center" wrapText="1"/>
    </x:xf>
    <x:xf numFmtId="203" fontId="0" fillId="0" borderId="0" xfId="0" applyNumberFormat="1" applyFont="1" applyFill="1" applyBorder="1" applyAlignment="1">
      <x:alignment vertical="center" wrapText="1"/>
    </x:xf>
    <x:xf numFmtId="0" fontId="4" fillId="0" borderId="0" xfId="0" applyNumberFormat="1" applyFont="1" applyFill="1" applyBorder="1"/>
    <x:xf numFmtId="0" fontId="4"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wrapText="1"/>
    </x:xf>
    <x:xf numFmtId="0" fontId="4" fillId="0" borderId="0" xfId="0" applyNumberFormat="1" applyFont="1" applyFill="1" applyBorder="1" applyAlignment="1">
      <x:alignment wrapText="1"/>
    </x:xf>
    <x:xf numFmtId="208" fontId="4" fillId="0" borderId="0" xfId="0" applyNumberFormat="1" applyFont="1" applyFill="1" applyBorder="1" applyAlignment="1">
      <x:alignment wrapText="1"/>
    </x:xf>
    <x:xf numFmtId="0" fontId="1" fillId="0" borderId="0" xfId="0" applyNumberFormat="1" applyFont="1" applyFill="1" applyBorder="1" applyAlignment="1">
      <x:alignment wrapText="1"/>
    </x:xf>
    <x:xf numFmtId="0" fontId="1" fillId="5" borderId="0" xfId="0" applyNumberFormat="1" applyFont="1" applyFill="1" applyBorder="1" applyAlignment="1">
      <x:alignment vertical="center" wrapText="1"/>
    </x:xf>
    <x:xf numFmtId="0" fontId="2" fillId="5"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d4df0dbc7514fb9" /><Relationship Type="http://schemas.openxmlformats.org/officeDocument/2006/relationships/theme" Target="/xl/theme/theme1.xml" Id="Rda63f1920b544034" /><Relationship Type="http://schemas.openxmlformats.org/officeDocument/2006/relationships/sharedStrings" Target="/xl/sharedStrings.xml" Id="Rda686d2d7b944029" /><Relationship Type="http://schemas.openxmlformats.org/officeDocument/2006/relationships/worksheet" Target="/xl/worksheets/sheet1.xml" Id="Rff524a09eef54dbd" /><Relationship Type="http://schemas.openxmlformats.org/officeDocument/2006/relationships/worksheet" Target="/xl/worksheets/sheet2.xml" Id="R529c4e2d4d42409f" /><Relationship Type="http://schemas.openxmlformats.org/officeDocument/2006/relationships/worksheet" Target="/xl/worksheets/sheet3.xml" Id="R4f933676d7fa4164" /><Relationship Type="http://schemas.openxmlformats.org/officeDocument/2006/relationships/worksheet" Target="/xl/worksheets/sheet4.xml" Id="Rea5af59a00fb45a3" /><Relationship Type="http://schemas.openxmlformats.org/officeDocument/2006/relationships/worksheet" Target="/xl/worksheets/sheet5.xml" Id="Rf441b0b5fc7742f4" /><Relationship Type="http://schemas.openxmlformats.org/officeDocument/2006/relationships/worksheet" Target="/xl/worksheets/sheet6.xml" Id="Rb1100e5409bb4840" /><Relationship Type="http://schemas.openxmlformats.org/officeDocument/2006/relationships/worksheet" Target="/xl/worksheets/sheet7.xml" Id="Rfc6a3d4b68254e8b" /><Relationship Type="http://schemas.openxmlformats.org/officeDocument/2006/relationships/worksheet" Target="/xl/worksheets/sheet8.xml" Id="R606cec2261d54688" /><Relationship Type="http://schemas.openxmlformats.org/officeDocument/2006/relationships/worksheet" Target="/xl/worksheets/sheet9.xml" Id="R42b235aab50d4f6d" /><Relationship Type="http://schemas.openxmlformats.org/officeDocument/2006/relationships/worksheet" Target="/xl/worksheets/sheet10.xml" Id="R552c175790604da3" /><Relationship Type="http://schemas.openxmlformats.org/officeDocument/2006/relationships/worksheet" Target="/xl/worksheets/sheet11.xml" Id="Rbd839bb917024767" /><Relationship Type="http://schemas.openxmlformats.org/officeDocument/2006/relationships/worksheet" Target="/xl/worksheets/sheet12.xml" Id="Rdc5e97bfcee74563" /><Relationship Type="http://schemas.openxmlformats.org/officeDocument/2006/relationships/worksheet" Target="/xl/worksheets/sheet13.xml" Id="R2809191a79b94428" /><Relationship Type="http://schemas.openxmlformats.org/officeDocument/2006/relationships/worksheet" Target="/xl/worksheets/sheet14.xml" Id="R27e619aac4324b0b" /><Relationship Type="http://schemas.openxmlformats.org/officeDocument/2006/relationships/worksheet" Target="/xl/worksheets/sheet15.xml" Id="Ra9e6a643c79248f7" /><Relationship Type="http://schemas.openxmlformats.org/officeDocument/2006/relationships/worksheet" Target="/xl/worksheets/sheet16.xml" Id="Red30a9668c99466f" /><Relationship Type="http://schemas.openxmlformats.org/officeDocument/2006/relationships/worksheet" Target="/xl/worksheets/sheet17.xml" Id="R19dce78adc73468a" /><Relationship Type="http://schemas.openxmlformats.org/officeDocument/2006/relationships/worksheet" Target="/xl/worksheets/sheet18.xml" Id="R9018fcd4b07d4bc0" /><Relationship Type="http://schemas.openxmlformats.org/officeDocument/2006/relationships/worksheet" Target="/xl/worksheets/sheet19.xml" Id="R59c0b49476014d9d" /><Relationship Type="http://schemas.openxmlformats.org/officeDocument/2006/relationships/worksheet" Target="/xl/worksheets/sheet20.xml" Id="R176bfe3042b14def" /><Relationship Type="http://schemas.openxmlformats.org/officeDocument/2006/relationships/worksheet" Target="/xl/worksheets/sheet21.xml" Id="Ra0ec230583b844b5" /><Relationship Type="http://schemas.openxmlformats.org/officeDocument/2006/relationships/worksheet" Target="/xl/worksheets/sheet22.xml" Id="Re4e03094496447e0" /></Relationships>
</file>

<file path=xl/drawings/_rels/drawing1.xml.rels>&#65279;<?xml version="1.0" encoding="utf-8"?><Relationships xmlns="http://schemas.openxmlformats.org/package/2006/relationships"><Relationship Type="http://schemas.openxmlformats.org/officeDocument/2006/relationships/image" Target="/xl/media/image.png" Id="R2b34408a0fcf4e0a" /></Relationships>
</file>

<file path=xl/drawings/drawing1.xml><?xml version="1.0" encoding="utf-8"?>
<xdr:wsDr xmlns:xdr="http://schemas.openxmlformats.org/drawingml/2006/spreadsheetDrawing">
  <xdr:oneCellAnchor>
    <xdr:from>
      <xdr:col>0</xdr:col>
      <xdr:colOff>0</xdr:colOff>
      <xdr:row>8</xdr:row>
      <xdr:rowOff>0</xdr:rowOff>
    </xdr:from>
    <xdr:ext cx="6477000" cy="3657600"/>
    <xdr:pic>
      <xdr:nvPicPr>
        <xdr:cNvPr id="1" name="/xl/media/image.png"/>
        <xdr:cNvPicPr>
          <a:picLocks xmlns:a="http://schemas.openxmlformats.org/drawingml/2006/main" noChangeAspect="1"/>
        </xdr:cNvPicPr>
      </xdr:nvPicPr>
      <xdr:blipFill>
        <a:blip xmlns:r="http://schemas.openxmlformats.org/officeDocument/2006/relationships" xmlns:a="http://schemas.openxmlformats.org/drawingml/2006/main" r:embed="R2b34408a0fcf4e0a"/>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EvidenceSources" displayName="EvidenceSources" ref="A1:O83" headerRowCount="1" totalsRowCount="0" totalsRowShown="0">
  <x:autoFilter ref="A1:O83"/>
  <x:tableColumns count="15">
    <x:tableColumn id="1" name="资料ID"/>
    <x:tableColumn id="2" name="正文序号"/>
    <x:tableColumn id="3" name="类别"/>
    <x:tableColumn id="4" name="年份"/>
    <x:tableColumn id="5" name="作者或机构"/>
    <x:tableColumn id="6" name="题名"/>
    <x:tableColumn id="7" name="可支持的依据"/>
    <x:tableColumn id="8" name="不足与使用边界"/>
    <x:tableColumn id="9" name="核验层级"/>
    <x:tableColumn id="10" name="时效与适用状态"/>
    <x:tableColumn id="11" name="拟用章节"/>
    <x:tableColumn id="12" name="原文URL"/>
    <x:tableColumn id="13" name="DOI"/>
    <x:tableColumn id="14" name="参考文献条目"/>
    <x:tableColumn id="15" name="检索日期"/>
  </x:tableColumns>
  <x:tableStyleInfo name="TableStyleMedium2" showFirstColumn="0" showLastColumn="0" showRowStripes="1" showColumnStripes="0"/>
</x:table>
</file>

<file path=xl/tables/table2.xml><?xml version="1.0" encoding="utf-8"?>
<x:table xmlns:x="http://schemas.openxmlformats.org/spreadsheetml/2006/main" id="2" name="PolicyClauses" displayName="PolicyClauses" ref="A1:I25" headerRowCount="1" totalsRowCount="0" totalsRowShown="0">
  <x:autoFilter ref="A1:I25"/>
  <x:tableColumns count="9">
    <x:tableColumn id="1" name="条目ID"/>
    <x:tableColumn id="2" name="来源ID"/>
    <x:tableColumn id="3" name="条款定位"/>
    <x:tableColumn id="4" name="义务主体"/>
    <x:tableColumn id="5" name="依据摘要"/>
    <x:tableColumn id="6" name="触发或适用条件"/>
    <x:tableColumn id="7" name="信息与执行内容"/>
    <x:tableColumn id="8" name="分析边界"/>
    <x:tableColumn id="9" name="正文位置"/>
  </x:tableColumns>
  <x:tableStyleInfo name="TableStyleMedium2" showFirstColumn="0" showLastColumn="0" showRowStripes="1" showColumnStripes="0"/>
</x:table>
</file>

<file path=xl/tables/table3.xml><?xml version="1.0" encoding="utf-8"?>
<x:table xmlns:x="http://schemas.openxmlformats.org/spreadsheetml/2006/main" id="3" name="ReportingDeadlines" displayName="ReportingDeadlines" ref="A1:J18" headerRowCount="1" totalsRowCount="0" totalsRowShown="0">
  <x:autoFilter ref="A1:J18"/>
  <x:tableColumns count="10">
    <x:tableColumn id="1" name="事件ID"/>
    <x:tableColumn id="2" name="主体及报送方向"/>
    <x:tableColumn id="3" name="触发事件"/>
    <x:tableColumn id="4" name="报送内容"/>
    <x:tableColumn id="5" name="期限数值"/>
    <x:tableColumn id="6" name="期限单位"/>
    <x:tableColumn id="7" name="条款定位"/>
    <x:tableColumn id="8" name="来源ID"/>
    <x:tableColumn id="9" name="起算或统计规则"/>
    <x:tableColumn id="10" name="特别说明"/>
  </x:tableColumns>
  <x:tableStyleInfo name="TableStyleMedium2" showFirstColumn="0" showLastColumn="0" showRowStripes="1" showColumnStripes="0"/>
</x:table>
</file>

<file path=xl/tables/table4.xml><?xml version="1.0" encoding="utf-8"?>
<x:table xmlns:x="http://schemas.openxmlformats.org/spreadsheetml/2006/main" id="4" name="ChartData" displayName="ChartData" ref="A1:I7" headerRowCount="1" totalsRowCount="0" totalsRowShown="0">
  <x:autoFilter ref="A1:I7"/>
  <x:tableColumns count="9">
    <x:tableColumn id="1" name="统计年"/>
    <x:tableColumn id="2" name="产量（万辆）"/>
    <x:tableColumn id="3" name="销量（万辆）"/>
    <x:tableColumn id="4" name="销量占汽车总销量比重"/>
    <x:tableColumn id="5" name="销量同比（由相邻年计算）"/>
    <x:tableColumn id="6" name="来源ID"/>
    <x:tableColumn id="7" name="正文文献序号"/>
    <x:tableColumn id="8" name="计量口径"/>
    <x:tableColumn id="9" name="不可推断事项"/>
  </x:tableColumns>
  <x:tableStyleInfo name="TableStyleMedium2" showFirstColumn="0" showLastColumn="0" showRowStripes="1" showColumnStripes="0"/>
</x:table>
</file>

<file path=xl/tables/table5.xml><?xml version="1.0" encoding="utf-8"?>
<x:table xmlns:x="http://schemas.openxmlformats.org/spreadsheetml/2006/main" id="5" name="FigureProvenance" displayName="FigureProvenance" ref="A1:F27" headerRowCount="1" totalsRowCount="0" totalsRowShown="0">
  <x:autoFilter ref="A1:F27"/>
  <x:tableColumns count="6">
    <x:tableColumn id="1" name="图表编号"/>
    <x:tableColumn id="2" name="处理方式"/>
    <x:tableColumn id="3" name="名称"/>
    <x:tableColumn id="4" name="来源ID"/>
    <x:tableColumn id="5" name="图注与边界"/>
    <x:tableColumn id="6" name="完整原文网址"/>
  </x:tableColumns>
  <x:tableStyleInfo name="TableStyleMedium2" showFirstColumn="0" showLastColumn="0" showRowStripes="1" showColumnStripes="0"/>
</x:table>
</file>

<file path=xl/tables/table6.xml><?xml version="1.0" encoding="utf-8"?>
<x:table xmlns:x="http://schemas.openxmlformats.org/spreadsheetml/2006/main" id="6" name="LiteratureReview" displayName="LiteratureReview" ref="A1:L23" headerRowCount="1" totalsRowCount="0" totalsRowShown="0">
  <x:autoFilter ref="A1:L23"/>
  <x:tableColumns count="12">
    <x:tableColumn id="1" name="资料ID"/>
    <x:tableColumn id="2" name="正文序号"/>
    <x:tableColumn id="3" name="作者"/>
    <x:tableColumn id="4" name="年份"/>
    <x:tableColumn id="5" name="研究方法"/>
    <x:tableColumn id="6" name="数据或研究范围"/>
    <x:tableColumn id="7" name="核心研究对象"/>
    <x:tableColumn id="8" name="已有贡献或发现"/>
    <x:tableColumn id="9" name="不足及适用边界"/>
    <x:tableColumn id="10" name="本文如何回应"/>
    <x:tableColumn id="11" name="核验层级"/>
    <x:tableColumn id="12" name="正文位置"/>
  </x:tableColumns>
  <x:tableStyleInfo name="TableStyleMedium2" showFirstColumn="0" showLastColumn="0" showRowStripes="1" showColumnStripes="0"/>
</x:table>
</file>

<file path=xl/tables/table7.xml><?xml version="1.0" encoding="utf-8"?>
<x:table xmlns:x="http://schemas.openxmlformats.org/spreadsheetml/2006/main" id="7" name="ResearchOutlook" displayName="ResearchOutlook" ref="A1:J7" headerRowCount="1" totalsRowCount="0" totalsRowShown="0">
  <x:autoFilter ref="A1:J7"/>
  <x:tableColumns count="10">
    <x:tableColumn id="1" name="方向ID"/>
    <x:tableColumn id="2" name="研究方向"/>
    <x:tableColumn id="3" name="具体问题"/>
    <x:tableColumn id="4" name="可获取资料"/>
    <x:tableColumn id="5" name="可行方法"/>
    <x:tableColumn id="6" name="预期成果"/>
    <x:tableColumn id="7" name="无需实地调查的可行性"/>
    <x:tableColumn id="8" name="相关来源ID"/>
    <x:tableColumn id="9" name="正文位置"/>
    <x:tableColumn id="10" name="必要条件与限制"/>
  </x:tableColumns>
  <x:tableStyleInfo name="TableStyleMedium2" showFirstColumn="0" showLastColumn="0" showRowStripes="1" showColumnStripes="0"/>
</x:table>
</file>

<file path=xl/tables/table8.xml><?xml version="1.0" encoding="utf-8"?>
<x:table xmlns:x="http://schemas.openxmlformats.org/spreadsheetml/2006/main" id="11" name="FormatAudit" displayName="FormatAudit" ref="A1:E18" headerRowCount="1" totalsRowCount="0" totalsRowShown="0">
  <x:autoFilter ref="A1:E18"/>
  <x:tableColumns count="5">
    <x:tableColumn id="1" name="检查项"/>
    <x:tableColumn id="2" name="模板或采用规则"/>
    <x:tableColumn id="3" name="修订后核对结果"/>
    <x:tableColumn id="4" name="状态"/>
    <x:tableColumn id="5" name="说明"/>
  </x:tableColumns>
  <x:tableStyleInfo name="TableStyleMedium2" showFirstColumn="0" showLastColumn="0" showRowStripes="1" showColumnStripes="0"/>
</x:table>
</file>

<file path=xl/tables/table9.xml><?xml version="1.0" encoding="utf-8"?>
<x:table xmlns:x="http://schemas.openxmlformats.org/spreadsheetml/2006/main" id="12" name="MathPolicyCoding" displayName="MathPolicyCoding" ref="A1:K21" headerRowCount="1" totalsRowCount="0" totalsRowShown="0">
  <x:autoFilter ref="A1:K21"/>
  <x:tableColumns count="11">
    <x:tableColumn id="1" name="记录ID"/>
    <x:tableColumn id="2" name="来源ID"/>
    <x:tableColumn id="3" name="条款"/>
    <x:tableColumn id="4" name="依据摘要"/>
    <x:tableColumn id="5" name="对象识别"/>
    <x:tableColumn id="6" name="回收责任"/>
    <x:tableColumn id="7" name="交接流向"/>
    <x:tableColumn id="8" name="信息规则"/>
    <x:tableColumn id="9" name="工程安全环保"/>
    <x:tableColumn id="10" name="监督与衔接"/>
    <x:tableColumn id="11" name="判定理由"/>
  </x:tableColumns>
  <x:tableStyleInfo name="TableStyleMedium2" showFirstColumn="0" showLastColumn="0" showRowStripes="1" showColumnStripes="0"/>
</x:table>
</file>

<file path=xl/tables/table10.xml><?xml version="1.0" encoding="utf-8"?>
<x:table xmlns:x="http://schemas.openxmlformats.org/spreadsheetml/2006/main" id="13" name="MathDeadlines" displayName="MathDeadlines" ref="A1:J18" headerRowCount="1" totalsRowCount="0" totalsRowShown="0">
  <x:autoFilter ref="A1:J18"/>
  <x:tableColumns count="10">
    <x:tableColumn id="1" name="事件ID"/>
    <x:tableColumn id="2" name="主体"/>
    <x:tableColumn id="3" name="触发事件"/>
    <x:tableColumn id="4" name="期限数值"/>
    <x:tableColumn id="5" name="单位"/>
    <x:tableColumn id="6" name="条款"/>
    <x:tableColumn id="7" name="来源ID"/>
    <x:tableColumn id="8" name="纳入自然日统计"/>
    <x:tableColumn id="9" name="处理理由"/>
    <x:tableColumn id="10" name="统计列（仅自然日）"/>
  </x:tableColumns>
  <x:tableStyleInfo name="TableStyleMedium2" showFirstColumn="0" showLastColumn="0" showRowStripes="1" showColumnStripes="0"/>
</x:table>
</file>

<file path=xl/tables/table11.xml><?xml version="1.0" encoding="utf-8"?>
<x:table xmlns:x="http://schemas.openxmlformats.org/spreadsheetml/2006/main" id="14" name="MathParameters" displayName="MathParameters" ref="A1:D17" headerRowCount="1" totalsRowCount="0" totalsRowShown="0">
  <x:autoFilter ref="A1:D17"/>
  <x:tableColumns count="4">
    <x:tableColumn id="1" name="参数或输出"/>
    <x:tableColumn id="2" name="数值（可复算）"/>
    <x:tableColumn id="3" name="单位"/>
    <x:tableColumn id="4" name="依据与性质"/>
  </x:tableColumns>
  <x:tableStyleInfo name="TableStyleMedium2" showFirstColumn="0" showLastColumn="0" showRowStripes="1" showColumnStripes="0"/>
</x:table>
</file>

<file path=xl/tables/table12.xml><?xml version="1.0" encoding="utf-8"?>
<x:table xmlns:x="http://schemas.openxmlformats.org/spreadsheetml/2006/main" id="15" name="MathScenarios" displayName="MathScenarios" ref="A1:O9" headerRowCount="1" totalsRowCount="0" totalsRowShown="0">
  <x:autoFilter ref="A1:O9"/>
  <x:tableColumns count="15">
    <x:tableColumn id="1" name="情景组"/>
    <x:tableColumn id="2" name="τ"/>
    <x:tableColumn id="3" name="a"/>
    <x:tableColumn id="4" name="b（法定）"/>
    <x:tableColumn id="5" name="η"/>
    <x:tableColumn id="6" name="b_eff"/>
    <x:tableColumn id="7" name="T"/>
    <x:tableColumn id="8" name="可行下界"/>
    <x:tableColumn id="9" name="可行上界"/>
    <x:tableColumn id="10" name="期望"/>
    <x:tableColumn id="11" name="5%分位"/>
    <x:tableColumn id="12" name="中位数"/>
    <x:tableColumn id="13" name="95%分位"/>
    <x:tableColumn id="14" name="零值概率"/>
    <x:tableColumn id="15" name="P(W&gt;T)"/>
  </x:tableColumns>
  <x:tableStyleInfo name="TableStyleMedium2" showFirstColumn="0" showLastColumn="0" showRowStripes="1" showColumnStripes="0"/>
</x:table>
</file>

<file path=xl/tables/table13.xml><?xml version="1.0" encoding="utf-8"?>
<x:table xmlns:x="http://schemas.openxmlformats.org/spreadsheetml/2006/main" id="16" name="MathSensitivity" displayName="MathSensitivity" ref="A1:E13" headerRowCount="1" totalsRowCount="0" totalsRowShown="0">
  <x:autoFilter ref="A1:E13"/>
  <x:tableColumns count="5">
    <x:tableColumn id="1" name="检验类型"/>
    <x:tableColumn id="2" name="上游U假设"/>
    <x:tableColumn id="3" name="下游V假设或依赖定义"/>
    <x:tableColumn id="4" name="P(W&gt;15)"/>
    <x:tableColumn id="5" name="计算与边界"/>
  </x:tableColumns>
  <x:tableStyleInfo name="TableStyleMedium2" showFirstColumn="0" showLastColumn="0" showRowStripes="1" showColumnStripes="0"/>
</x:table>
</file>

<file path=xl/tables/table14.xml><?xml version="1.0" encoding="utf-8"?>
<x:table xmlns:x="http://schemas.openxmlformats.org/spreadsheetml/2006/main" id="8" name="PolicyUpdates" displayName="PolicyUpdates" ref="A1:H10" headerRowCount="1" totalsRowCount="0" totalsRowShown="0">
  <x:autoFilter ref="A1:H10"/>
  <x:tableColumns count="8">
    <x:tableColumn id="1" name="来源ID"/>
    <x:tableColumn id="2" name="文件名称"/>
    <x:tableColumn id="3" name="类型"/>
    <x:tableColumn id="4" name="关键日期"/>
    <x:tableColumn id="5" name="状态"/>
    <x:tableColumn id="6" name="新增依据"/>
    <x:tableColumn id="7" name="使用边界"/>
    <x:tableColumn id="8" name="原文URL"/>
  </x:tableColumns>
  <x:tableStyleInfo name="TableStyleMedium2" showFirstColumn="0" showLastColumn="0" showRowStripes="1" showColumnStripes="0"/>
</x:table>
</file>

<file path=xl/tables/table15.xml><?xml version="1.0" encoding="utf-8"?>
<x:table xmlns:x="http://schemas.openxmlformats.org/spreadsheetml/2006/main" id="9" name="PatentReview" displayName="PatentReview" ref="A1:Q5" headerRowCount="1" totalsRowCount="0" totalsRowShown="0">
  <x:autoFilter ref="A1:Q5"/>
  <x:tableColumns count="17">
    <x:tableColumn id="1" name="资料ID"/>
    <x:tableColumn id="2" name="公开号"/>
    <x:tableColumn id="3" name="优先权日"/>
    <x:tableColumn id="4" name="申请日"/>
    <x:tableColumn id="5" name="公开日"/>
    <x:tableColumn id="6" name="技术任务"/>
    <x:tableColumn id="7" name="选读定位"/>
    <x:tableColumn id="8" name="披露特征"/>
    <x:tableColumn id="9" name="技术不足与待验证项"/>
    <x:tableColumn id="10" name="政策接口"/>
    <x:tableColumn id="11" name="验证任务"/>
    <x:tableColumn id="12" name="对象关联"/>
    <x:tableColumn id="13" name="事件与版本"/>
    <x:tableColumn id="14" name="受控访问"/>
    <x:tableColumn id="15" name="元素料占比"/>
    <x:tableColumn id="16" name="法定期限"/>
    <x:tableColumn id="17" name="原文URL"/>
  </x:tableColumns>
  <x:tableStyleInfo name="TableStyleMedium2" showFirstColumn="0" showLastColumn="0" showRowStripes="1" showColumnStripes="0"/>
</x:table>
</file>

<file path=xl/tables/table16.xml><?xml version="1.0" encoding="utf-8"?>
<x:table xmlns:x="http://schemas.openxmlformats.org/spreadsheetml/2006/main" id="10" name="LogicAudit" displayName="LogicAudit" ref="A1:E7" headerRowCount="1" totalsRowCount="0" totalsRowShown="0">
  <x:autoFilter ref="A1:E7"/>
  <x:tableColumns count="5">
    <x:tableColumn id="1" name="论证阶段"/>
    <x:tableColumn id="2" name="章节"/>
    <x:tableColumn id="3" name="逻辑推进"/>
    <x:tableColumn id="4" name="主要证据"/>
    <x:tableColumn id="5" name="需要排除的推断"/>
  </x:tableColumns>
  <x:tableStyleInfo name="TableStyleMedium2" showFirstColumn="0" showLastColumn="0" showRowStripes="1" showColumnStripes="0"/>
</x:table>
</file>

<file path=xl/tables/table17.xml><?xml version="1.0" encoding="utf-8"?>
<x:table xmlns:x="http://schemas.openxmlformats.org/spreadsheetml/2006/main" id="17" name="StandardsRegister" displayName="StandardsRegister" ref="A1:J11" headerRowCount="1" totalsRowCount="0" totalsRowShown="0">
  <x:autoFilter ref="A1:J11"/>
  <x:tableColumns count="10">
    <x:tableColumn id="1" name="资料ID"/>
    <x:tableColumn id="2" name="标准编号"/>
    <x:tableColumn id="3" name="标准名称"/>
    <x:tableColumn id="4" name="类型及地域"/>
    <x:tableColumn id="5" name="发布日期"/>
    <x:tableColumn id="6" name="实施日期"/>
    <x:tableColumn id="7" name="可核验要求与模型接口"/>
    <x:tableColumn id="8" name="核验层级"/>
    <x:tableColumn id="9" name="适用与建模边界"/>
    <x:tableColumn id="10" name="完整原文网址"/>
  </x:tableColumns>
  <x:tableStyleInfo name="TableStyleMedium2" showFirstColumn="0" showLastColumn="0" showRowStripes="1" showColumnStripes="0"/>
</x:table>
</file>

<file path=xl/tables/table18.xml><?xml version="1.0" encoding="utf-8"?>
<x:table xmlns:x="http://schemas.openxmlformats.org/spreadsheetml/2006/main" id="18" name="StandardModels" displayName="StandardModels" ref="A1:D28" headerRowCount="1" totalsRowCount="0" totalsRowShown="0">
  <x:autoFilter ref="A1:D28"/>
  <x:tableColumns count="4">
    <x:tableColumn id="1" name="参数或结果"/>
    <x:tableColumn id="2" name="值或公式"/>
    <x:tableColumn id="3" name="单位"/>
    <x:tableColumn id="4" name="性质与来源"/>
  </x:tableColumns>
  <x:tableStyleInfo name="TableStyleMedium2" showFirstColumn="0" showLastColumn="0" showRowStripes="1" showColumnStripes="0"/>
</x:table>
</file>

<file path=xl/tables/table19.xml><?xml version="1.0" encoding="utf-8"?>
<x:table xmlns:x="http://schemas.openxmlformats.org/spreadsheetml/2006/main" id="19" name="StandardScenarios" displayName="StandardScenarios" ref="A1:J13" headerRowCount="1" totalsRowCount="0" totalsRowShown="0">
  <x:autoFilter ref="A1:J13"/>
  <x:tableColumns count="10">
    <x:tableColumn id="1" name="模型"/>
    <x:tableColumn id="2" name="情景"/>
    <x:tableColumn id="3" name="输入1"/>
    <x:tableColumn id="4" name="输入2"/>
    <x:tableColumn id="5" name="输入3"/>
    <x:tableColumn id="6" name="输入4"/>
    <x:tableColumn id="7" name="输入5"/>
    <x:tableColumn id="8" name="计算结果"/>
    <x:tableColumn id="9" name="与脚本差值"/>
    <x:tableColumn id="10" name="解释"/>
  </x:tableColumns>
  <x:tableStyleInfo name="TableStyleMedium2" showFirstColumn="0" showLastColumn="0" showRowStripes="1" showColumnStripes="0"/>
</x:table>
</file>

<file path=xl/tables/table20.xml><?xml version="1.0" encoding="utf-8"?>
<x:table xmlns:x="http://schemas.openxmlformats.org/spreadsheetml/2006/main" id="20" name="IEAChemistry" displayName="IEAChemistry" ref="A1:F37" headerRowCount="1" totalsRowCount="0" totalsRowShown="0">
  <x:autoFilter ref="A1:F37"/>
  <x:tableColumns count="6">
    <x:tableColumn id="1" name="地区"/>
    <x:tableColumn id="2" name="年份"/>
    <x:tableColumn id="3" name="化学体系"/>
    <x:tableColumn id="4" name="电池容量份额"/>
    <x:tableColumn id="5" name="来源ID"/>
    <x:tableColumn id="6" name="计量范围与处理"/>
  </x:tableColumns>
  <x:tableStyleInfo name="TableStyleMedium2" showFirstColumn="0" showLastColumn="0" showRowStripes="1" showColumnStripes="0"/>
</x:table>
</file>

<file path=xl/tables/table21.xml><?xml version="1.0" encoding="utf-8"?>
<x:table xmlns:x="http://schemas.openxmlformats.org/spreadsheetml/2006/main" id="21" name="FigureReuse" displayName="FigureReuse" ref="A1:G9" headerRowCount="1" totalsRowCount="0" totalsRowShown="0">
  <x:tableColumns count="7">
    <x:tableColumn id="1" name="来源ID"/>
    <x:tableColumn id="2" name="证据对象"/>
    <x:tableColumn id="3" name="原文定位"/>
    <x:tableColumn id="4" name="本稿位置"/>
    <x:tableColumn id="5" name="使用方式"/>
    <x:tableColumn id="6" name="原文许可"/>
    <x:tableColumn id="7" name="适用边界"/>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602051f4cc34496" /></Relationships>
</file>

<file path=xl/worksheets/_rels/sheet3.xml.rels>&#65279;<?xml version="1.0" encoding="utf-8"?><Relationships xmlns="http://schemas.openxmlformats.org/package/2006/relationships"><Relationship Type="http://schemas.openxmlformats.org/officeDocument/2006/relationships/table" Target="/xl/tables/table2.xml" Id="R4c53ea0a1e79452e" /></Relationships>
</file>

<file path=xl/worksheets/_rels/sheet4.xml.rels>&#65279;<?xml version="1.0" encoding="utf-8"?><Relationships xmlns="http://schemas.openxmlformats.org/package/2006/relationships"><Relationship Type="http://schemas.openxmlformats.org/officeDocument/2006/relationships/table" Target="/xl/tables/table3.xml" Id="Rb0a355947ba841f7" /></Relationships>
</file>

<file path=xl/worksheets/_rels/sheet5.xml.rels>&#65279;<?xml version="1.0" encoding="utf-8"?><Relationships xmlns="http://schemas.openxmlformats.org/package/2006/relationships"><Relationship Type="http://schemas.openxmlformats.org/officeDocument/2006/relationships/drawing" Target="/xl/drawings/drawing1.xml" Id="R24257f2919054bb5" /><Relationship Type="http://schemas.openxmlformats.org/officeDocument/2006/relationships/table" Target="/xl/tables/table4.xml" Id="R2bb60bb1d05e4495" /></Relationships>
</file>

<file path=xl/worksheets/_rels/sheet6.xml.rels>&#65279;<?xml version="1.0" encoding="utf-8"?><Relationships xmlns="http://schemas.openxmlformats.org/package/2006/relationships"><Relationship Type="http://schemas.openxmlformats.org/officeDocument/2006/relationships/table" Target="/xl/tables/table5.xml" Id="R8e4485c5180e4d0c" /></Relationships>
</file>

<file path=xl/worksheets/_rels/sheet7.xml.rels>&#65279;<?xml version="1.0" encoding="utf-8"?><Relationships xmlns="http://schemas.openxmlformats.org/package/2006/relationships"><Relationship Type="http://schemas.openxmlformats.org/officeDocument/2006/relationships/table" Target="/xl/tables/table6.xml" Id="R491d2d9bae4a4788" /></Relationships>
</file>

<file path=xl/worksheets/_rels/sheet8.xml.rels>&#65279;<?xml version="1.0" encoding="utf-8"?><Relationships xmlns="http://schemas.openxmlformats.org/package/2006/relationships"><Relationship Type="http://schemas.openxmlformats.org/officeDocument/2006/relationships/table" Target="/xl/tables/table7.xml" Id="Rc2c06690f3064014" /></Relationships>
</file>

<file path=xl/worksheets/_rels/sheet9.xml.rels>&#65279;<?xml version="1.0" encoding="utf-8"?><Relationships xmlns="http://schemas.openxmlformats.org/package/2006/relationships"><Relationship Type="http://schemas.openxmlformats.org/officeDocument/2006/relationships/table" Target="/xl/tables/table8.xml" Id="R890b78e6124d4f5a" /></Relationships>
</file>

<file path=xl/worksheets/_rels/sheet10.xml.rels>&#65279;<?xml version="1.0" encoding="utf-8"?><Relationships xmlns="http://schemas.openxmlformats.org/package/2006/relationships"><Relationship Type="http://schemas.openxmlformats.org/officeDocument/2006/relationships/table" Target="/xl/tables/table9.xml" Id="Rb4eb384375ed4cd0" /></Relationships>
</file>

<file path=xl/worksheets/_rels/sheet11.xml.rels>&#65279;<?xml version="1.0" encoding="utf-8"?><Relationships xmlns="http://schemas.openxmlformats.org/package/2006/relationships"><Relationship Type="http://schemas.openxmlformats.org/officeDocument/2006/relationships/table" Target="/xl/tables/table10.xml" Id="R14f1021d9d524db9" /></Relationships>
</file>

<file path=xl/worksheets/_rels/sheet12.xml.rels>&#65279;<?xml version="1.0" encoding="utf-8"?><Relationships xmlns="http://schemas.openxmlformats.org/package/2006/relationships"><Relationship Type="http://schemas.openxmlformats.org/officeDocument/2006/relationships/table" Target="/xl/tables/table11.xml" Id="R7d0d9ede32aa44fc" /></Relationships>
</file>

<file path=xl/worksheets/_rels/sheet13.xml.rels>&#65279;<?xml version="1.0" encoding="utf-8"?><Relationships xmlns="http://schemas.openxmlformats.org/package/2006/relationships"><Relationship Type="http://schemas.openxmlformats.org/officeDocument/2006/relationships/table" Target="/xl/tables/table12.xml" Id="R92133507f63246be" /></Relationships>
</file>

<file path=xl/worksheets/_rels/sheet14.xml.rels>&#65279;<?xml version="1.0" encoding="utf-8"?><Relationships xmlns="http://schemas.openxmlformats.org/package/2006/relationships"><Relationship Type="http://schemas.openxmlformats.org/officeDocument/2006/relationships/table" Target="/xl/tables/table13.xml" Id="R63f65858278448f7" /></Relationships>
</file>

<file path=xl/worksheets/_rels/sheet15.xml.rels>&#65279;<?xml version="1.0" encoding="utf-8"?><Relationships xmlns="http://schemas.openxmlformats.org/package/2006/relationships"><Relationship Type="http://schemas.openxmlformats.org/officeDocument/2006/relationships/table" Target="/xl/tables/table14.xml" Id="R982ae42afb324085" /></Relationships>
</file>

<file path=xl/worksheets/_rels/sheet16.xml.rels>&#65279;<?xml version="1.0" encoding="utf-8"?><Relationships xmlns="http://schemas.openxmlformats.org/package/2006/relationships"><Relationship Type="http://schemas.openxmlformats.org/officeDocument/2006/relationships/table" Target="/xl/tables/table15.xml" Id="R49e2bec767314972" /></Relationships>
</file>

<file path=xl/worksheets/_rels/sheet17.xml.rels>&#65279;<?xml version="1.0" encoding="utf-8"?><Relationships xmlns="http://schemas.openxmlformats.org/package/2006/relationships"><Relationship Type="http://schemas.openxmlformats.org/officeDocument/2006/relationships/table" Target="/xl/tables/table16.xml" Id="R8feb63e894fb4f19" /></Relationships>
</file>

<file path=xl/worksheets/_rels/sheet18.xml.rels>&#65279;<?xml version="1.0" encoding="utf-8"?><Relationships xmlns="http://schemas.openxmlformats.org/package/2006/relationships"><Relationship Type="http://schemas.openxmlformats.org/officeDocument/2006/relationships/table" Target="/xl/tables/table17.xml" Id="Re890eed6a5a949c9" /></Relationships>
</file>

<file path=xl/worksheets/_rels/sheet19.xml.rels>&#65279;<?xml version="1.0" encoding="utf-8"?><Relationships xmlns="http://schemas.openxmlformats.org/package/2006/relationships"><Relationship Type="http://schemas.openxmlformats.org/officeDocument/2006/relationships/table" Target="/xl/tables/table18.xml" Id="Rdd3ad82e0413426f" /></Relationships>
</file>

<file path=xl/worksheets/_rels/sheet20.xml.rels>&#65279;<?xml version="1.0" encoding="utf-8"?><Relationships xmlns="http://schemas.openxmlformats.org/package/2006/relationships"><Relationship Type="http://schemas.openxmlformats.org/officeDocument/2006/relationships/table" Target="/xl/tables/table19.xml" Id="R23f0309b2f1e44b1" /></Relationships>
</file>

<file path=xl/worksheets/_rels/sheet21.xml.rels>&#65279;<?xml version="1.0" encoding="utf-8"?><Relationships xmlns="http://schemas.openxmlformats.org/package/2006/relationships"><Relationship Type="http://schemas.openxmlformats.org/officeDocument/2006/relationships/table" Target="/xl/tables/table20.xml" Id="Rf3662fffcbb94ded" /></Relationships>
</file>

<file path=xl/worksheets/_rels/sheet22.xml.rels>&#65279;<?xml version="1.0" encoding="utf-8"?><Relationships xmlns="http://schemas.openxmlformats.org/package/2006/relationships"><Relationship Type="http://schemas.openxmlformats.org/officeDocument/2006/relationships/table" Target="/xl/tables/table21.xml" Id="R7134aea09a554efd" /></Relationships>
</file>

<file path=xl/worksheets/sheet1.xml><?xml version="1.0" encoding="utf-8"?>
<x:worksheet xmlns:x="http://schemas.openxmlformats.org/spreadsheetml/2006/main">
  <x:sheetPr>
    <x:tabColor rgb="FF294C68"/>
  </x:sheetPr>
  <x:sheetViews>
    <x:sheetView showGridLines="0" workbookViewId="0"/>
  </x:sheetViews>
  <x:sheetFormatPr defaultRowHeight="15"/>
  <x:cols>
    <x:col min="1" max="1" width="3" hidden="0" customWidth="1"/>
    <x:col min="2" max="2" width="23" hidden="0" customWidth="1"/>
    <x:col min="3" max="3" width="43" hidden="0" customWidth="1"/>
    <x:col min="4" max="4" width="28" hidden="0" customWidth="1"/>
    <x:col min="5" max="5" width="32" hidden="0" customWidth="1"/>
    <x:col min="6" max="6" width="45" hidden="0" customWidth="1"/>
    <x:col min="7" max="7" width="4" hidden="0" customWidth="1"/>
  </x:cols>
  <x:sheetData>
    <x:row r="1" ht="26" customHeight="1">
      <x:c r="A1" s="2"/>
      <x:c r="B1" s="2"/>
      <x:c r="C1" s="2"/>
      <x:c r="D1" s="2"/>
      <x:c r="E1" s="2"/>
      <x:c r="F1" s="2"/>
      <x:c r="G1" s="2"/>
    </x:row>
    <x:row r="2" ht="26" customHeight="1">
      <x:c r="A2" s="2"/>
      <x:c r="B2" s="14" t="str">
        <x:v>动力电池回收政策研究资料库</x:v>
      </x:c>
      <x:c r="C2" s="2"/>
      <x:c r="D2" s="2"/>
      <x:c r="E2" s="2"/>
      <x:c r="F2" s="2"/>
      <x:c r="G2" s="2"/>
    </x:row>
    <x:row r="3" ht="26" customHeight="1">
      <x:c r="A3" s="2"/>
      <x:c r="B3" s="2" t="str">
        <x:v>检索截止：2026-10-20；纯文献与政策分析；对应Word初稿。</x:v>
      </x:c>
      <x:c r="C3" s="2"/>
      <x:c r="D3" s="2"/>
      <x:c r="E3" s="2"/>
      <x:c r="F3" s="2"/>
      <x:c r="G3" s="2"/>
    </x:row>
    <x:row r="4" ht="26" customHeight="1">
      <x:c r="A4" s="2"/>
      <x:c r="B4" s="2"/>
      <x:c r="C4" s="2"/>
      <x:c r="D4" s="2"/>
      <x:c r="E4" s="2"/>
      <x:c r="F4" s="2"/>
      <x:c r="G4" s="2"/>
    </x:row>
    <x:row r="5" ht="26" customHeight="1">
      <x:c r="A5" s="2"/>
      <x:c r="B5" s="2" t="str">
        <x:v>资料记录（去重）</x:v>
      </x:c>
      <x:c r="C5" s="15" t="n">
        <x:f>COUNTA(资料总库!A2:A83)</x:f>
        <x:v>82</x:v>
      </x:c>
      <x:c r="D5" s="2"/>
      <x:c r="E5" s="2"/>
      <x:c r="F5" s="2"/>
      <x:c r="G5" s="2"/>
    </x:row>
    <x:row r="6" ht="26" customHeight="1">
      <x:c r="A6" s="2"/>
      <x:c r="B6" s="2" t="str">
        <x:v>进入正文参考文献</x:v>
      </x:c>
      <x:c r="C6" s="15" t="n">
        <x:f>COUNT(资料总库!B2:B83)</x:f>
        <x:v>73</x:v>
      </x:c>
      <x:c r="D6" s="2"/>
      <x:c r="E6" s="2"/>
      <x:c r="F6" s="2"/>
      <x:c r="G6" s="2"/>
    </x:row>
    <x:row r="7" ht="26" customHeight="1">
      <x:c r="A7" s="2"/>
      <x:c r="B7" s="2" t="str">
        <x:v>政策条款分析记录</x:v>
      </x:c>
      <x:c r="C7" s="15" t="n">
        <x:f>COUNTA(政策条款!A2:A25)</x:f>
        <x:v>24</x:v>
      </x:c>
      <x:c r="D7" s="2"/>
      <x:c r="E7" s="2"/>
      <x:c r="F7" s="2"/>
      <x:c r="G7" s="2"/>
    </x:row>
    <x:row r="8" ht="26" customHeight="1">
      <x:c r="A8" s="2"/>
      <x:c r="B8" s="2" t="str">
        <x:v>报送事件记录</x:v>
      </x:c>
      <x:c r="C8" s="15" t="n">
        <x:f>COUNTA(报送期限!A2:A18)</x:f>
        <x:v>17</x:v>
      </x:c>
      <x:c r="D8" s="2"/>
      <x:c r="E8" s="2"/>
      <x:c r="F8" s="2"/>
      <x:c r="G8" s="2"/>
    </x:row>
    <x:row r="9" ht="26" customHeight="1">
      <x:c r="A9" s="2"/>
      <x:c r="B9" s="2"/>
      <x:c r="C9" s="2"/>
      <x:c r="D9" s="2"/>
      <x:c r="E9" s="2"/>
      <x:c r="F9" s="2"/>
      <x:c r="G9" s="2"/>
    </x:row>
    <x:row r="10" ht="26" customHeight="1">
      <x:c r="A10" s="2"/>
      <x:c r="B10" s="16" t="str">
        <x:v>论证环节</x:v>
      </x:c>
      <x:c r="C10" s="16" t="str">
        <x:v>要回答的问题</x:v>
      </x:c>
      <x:c r="D10" s="16" t="str">
        <x:v>对应来源</x:v>
      </x:c>
      <x:c r="E10" s="16" t="str">
        <x:v>初稿位置</x:v>
      </x:c>
      <x:c r="F10" s="16" t="str">
        <x:v>结论边界</x:v>
      </x:c>
      <x:c r="G10" s="2"/>
    </x:row>
    <x:row r="11" ht="49" customHeight="1">
      <x:c r="A11" s="2"/>
      <x:c r="B11" s="6" t="str">
        <x:v>产业背景</x:v>
      </x:c>
      <x:c r="C11" s="6" t="str">
        <x:v>为何需要前置建设回收体系</x:v>
      </x:c>
      <x:c r="D11" s="6" t="str">
        <x:v>P01；D01—D06；P11</x:v>
      </x:c>
      <x:c r="E11" s="6" t="str">
        <x:v>第1节；图3</x:v>
      </x:c>
      <x:c r="F11" s="6" t="str">
        <x:v>销量不能直接换算退役量</x:v>
      </x:c>
      <x:c r="G11" s="2"/>
    </x:row>
    <x:row r="12" ht="49" customHeight="1">
      <x:c r="A12" s="2"/>
      <x:c r="B12" s="6" t="str">
        <x:v>前人工作</x:v>
      </x:c>
      <x:c r="C12" s="6" t="str">
        <x:v>已有方法推进了什么、不能解释什么</x:v>
      </x:c>
      <x:c r="D12" s="6" t="str">
        <x:v>L01—L22；详见文献评述</x:v>
      </x:c>
      <x:c r="E12" s="6" t="str">
        <x:v>第2节；文献评述</x:v>
      </x:c>
      <x:c r="F12" s="6" t="str">
        <x:v>模型、专利、偏好与真实回收结果不同</x:v>
      </x:c>
      <x:c r="G12" s="2"/>
    </x:row>
    <x:row r="13" ht="49" customHeight="1">
      <x:c r="A13" s="2"/>
      <x:c r="B13" s="6" t="str">
        <x:v>制度演进</x:v>
      </x:c>
      <x:c r="C13" s="6" t="str">
        <x:v>历史要求如何变为当前安排</x:v>
      </x:c>
      <x:c r="D13" s="6" t="str">
        <x:v>P02—P07；P09；P14；P15</x:v>
      </x:c>
      <x:c r="E13" s="6" t="str">
        <x:v>第3节；表2</x:v>
      </x:c>
      <x:c r="F13" s="6" t="str">
        <x:v>旧文件失效状态须保留</x:v>
      </x:c>
      <x:c r="G13" s="2"/>
    </x:row>
    <x:row r="14" ht="49" customHeight="1">
      <x:c r="A14" s="2"/>
      <x:c r="B14" s="6" t="str">
        <x:v>责任与交接</x:v>
      </x:c>
      <x:c r="C14" s="6" t="str">
        <x:v>谁负责、交给谁、何时记录</x:v>
      </x:c>
      <x:c r="D14" s="6" t="str">
        <x:v>P09；S03</x:v>
      </x:c>
      <x:c r="E14" s="6" t="str">
        <x:v>第4.1.1—4.1.2节；图7—8</x:v>
      </x:c>
      <x:c r="F14" s="6" t="str">
        <x:v>条款规定不等于实际已履行</x:v>
      </x:c>
      <x:c r="G14" s="2"/>
    </x:row>
    <x:row r="15" ht="49" customHeight="1">
      <x:c r="A15" s="2"/>
      <x:c r="B15" s="6" t="str">
        <x:v>国际比较</x:v>
      </x:c>
      <x:c r="C15" s="6" t="str">
        <x:v>哪些数据治理经验可参考</x:v>
      </x:c>
      <x:c r="D15" s="6" t="str">
        <x:v>I01；I02</x:v>
      </x:c>
      <x:c r="E15" s="6" t="str">
        <x:v>第4.1.3节</x:v>
      </x:c>
      <x:c r="F15" s="6" t="str">
        <x:v>欧盟未来适用条款；NIST是技术项目</x:v>
      </x:c>
      <x:c r="G15" s="2"/>
    </x:row>
    <x:row r="16" ht="49" customHeight="1">
      <x:c r="A16" s="2"/>
      <x:c r="B16" s="6" t="str">
        <x:v>执行与环保</x:v>
      </x:c>
      <x:c r="C16" s="6" t="str">
        <x:v>平台之外需要什么支撑</x:v>
      </x:c>
      <x:c r="D16" s="6" t="str">
        <x:v>P12；S01</x:v>
      </x:c>
      <x:c r="E16" s="6" t="str">
        <x:v>第4.1.4节</x:v>
      </x:c>
      <x:c r="F16" s="6" t="str">
        <x:v>部署不是效果；处理规模不是回收率</x:v>
      </x:c>
      <x:c r="G16" s="2"/>
    </x:row>
    <x:row r="17" ht="49" customHeight="1">
      <x:c r="A17" s="2"/>
      <x:c r="B17" s="6" t="str">
        <x:v>配套建议</x:v>
      </x:c>
      <x:c r="C17" s="6" t="str">
        <x:v>如何形成可核验的政策改进</x:v>
      </x:c>
      <x:c r="D17" s="6" t="str">
        <x:v>上述证据与作者分析</x:v>
      </x:c>
      <x:c r="E17" s="6" t="str">
        <x:v>第5节；表9</x:v>
      </x:c>
      <x:c r="F17" s="6" t="str">
        <x:v>指标为建议，不是法定考核与实测值</x:v>
      </x:c>
      <x:c r="G17" s="2"/>
    </x:row>
    <x:row r="18" ht="49" customHeight="1">
      <x:c r="A18" s="2"/>
      <x:c r="B18" s="6" t="str">
        <x:v>研究限制</x:v>
      </x:c>
      <x:c r="C18" s="6" t="str">
        <x:v>哪些证据仍不足</x:v>
      </x:c>
      <x:c r="D18" s="6" t="str">
        <x:v>各资料“不足与使用边界”列</x:v>
      </x:c>
      <x:c r="E18" s="6" t="str">
        <x:v>第6.1—6.2节；研究展望</x:v>
      </x:c>
      <x:c r="F18" s="6" t="str">
        <x:v>未获平台微观数据，不做因果效果推断</x:v>
      </x:c>
      <x:c r="G18" s="2"/>
    </x:row>
    <x:row r="19" ht="26" customHeight="1">
      <x:c r="A19" s="2"/>
      <x:c r="B19" s="2"/>
      <x:c r="C19" s="2"/>
      <x:c r="D19" s="2"/>
      <x:c r="E19" s="2"/>
      <x:c r="F19" s="2"/>
      <x:c r="G19" s="2"/>
    </x:row>
    <x:row r="20" ht="26" customHeight="1">
      <x:c r="A20" s="2"/>
      <x:c r="B20" s="17" t="str">
        <x:v>使用方式：用资料ID关联各表；正文序号与Word一致。无正文序号者为背景、解读或待补充线索。</x:v>
      </x:c>
      <x:c r="C20" s="17"/>
      <x:c r="D20" s="17"/>
      <x:c r="E20" s="17"/>
      <x:c r="F20" s="17"/>
      <x:c r="G20" s="2"/>
    </x:row>
    <x:row r="21" ht="26" customHeight="1">
      <x:c r="A21" s="2"/>
      <x:c r="B21" s="17"/>
      <x:c r="C21" s="17"/>
      <x:c r="D21" s="17"/>
      <x:c r="E21" s="17"/>
      <x:c r="F21" s="17"/>
      <x:c r="G21" s="2"/>
    </x:row>
    <x:row r="22" ht="26" customHeight="1">
      <x:c r="A22" s="2"/>
      <x:c r="B22" s="17" t="str">
        <x:v>核验层级：全文、公开摘要、题录与索引分别记录；“储备”不得直接当作已核验正文证据。</x:v>
      </x:c>
      <x:c r="C22" s="17"/>
      <x:c r="D22" s="17"/>
      <x:c r="E22" s="17"/>
      <x:c r="F22" s="17"/>
      <x:c r="G22" s="2"/>
    </x:row>
    <x:row r="23" ht="26" customHeight="1">
      <x:c r="A23" s="2"/>
      <x:c r="B23" s="17"/>
      <x:c r="C23" s="17"/>
      <x:c r="D23" s="17"/>
      <x:c r="E23" s="17"/>
      <x:c r="F23" s="17"/>
      <x:c r="G23" s="2"/>
    </x:row>
    <x:row r="24" ht="26" customHeight="1">
      <x:c r="A24" s="2"/>
      <x:c r="B24" s="17" t="str">
        <x:v>时效检查：新增8月法典、9月规划/标准征求意见、10月执行公告；正式文件与草案分列。</x:v>
      </x:c>
      <x:c r="C24" s="17"/>
      <x:c r="D24" s="17"/>
      <x:c r="E24" s="17"/>
      <x:c r="F24" s="17"/>
      <x:c r="G24" s="2"/>
    </x:row>
    <x:row r="25" ht="26" customHeight="1">
      <x:c r="A25" s="2"/>
      <x:c r="B25" s="17"/>
      <x:c r="C25" s="17"/>
      <x:c r="D25" s="17"/>
      <x:c r="E25" s="17"/>
      <x:c r="F25" s="17"/>
      <x:c r="G25" s="2"/>
    </x:row>
    <x:row r="26" ht="26" customHeight="1">
      <x:c r="A26" s="2"/>
      <x:c r="B26" s="17" t="str">
        <x:v>资料库为目的性检索成果，不是穷尽式系统综述；未编造问卷、访谈、活动与企业数据。</x:v>
      </x:c>
      <x:c r="C26" s="17"/>
      <x:c r="D26" s="17"/>
      <x:c r="E26" s="17"/>
      <x:c r="F26" s="17"/>
      <x:c r="G26" s="2"/>
    </x:row>
    <x:row r="27" ht="26" customHeight="1">
      <x:c r="A27" s="2"/>
      <x:c r="B27" s="2"/>
      <x:c r="C27" s="2"/>
      <x:c r="D27" s="2"/>
      <x:c r="E27" s="2"/>
      <x:c r="F27" s="2"/>
      <x:c r="G27" s="2"/>
    </x:row>
    <x:row r="28" ht="30" customHeight="1">
      <x:c r="A28" s="2"/>
      <x:c r="B28" s="2" t="e">
        <x:f>HYPERLINK("https://battery-circularity-research-2026.mercedesmadrigal671.chatgpt.site","https://battery-circularity-research-2026.mercedesmadrigal671.chatgpt.site")</x:f>
        <x:v>HYPERLINK is not implemented. linkLocation=https://battery-circularity-research-2026.mercedesmadrigal671.chatgpt.site, friendlyName=https://battery-circularity-research-2026.mercedesmadrigal671.chatgpt.site</x:v>
      </x:c>
      <x:c r="C28" s="2"/>
      <x:c r="D28" s="2"/>
      <x:c r="E28" s="2"/>
      <x:c r="F28" s="2"/>
      <x:c r="G28" s="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0" hidden="0" customWidth="1"/>
    <x:col min="2" max="2" width="10" hidden="0" customWidth="1"/>
    <x:col min="3" max="3" width="18" hidden="0" customWidth="1"/>
    <x:col min="4" max="4" width="9" hidden="0" customWidth="1"/>
    <x:col min="5" max="5" width="31" hidden="0" customWidth="1"/>
    <x:col min="6" max="6" width="56" hidden="0" customWidth="1"/>
    <x:col min="7" max="7" width="58" hidden="0" customWidth="1"/>
    <x:col min="8" max="8" width="56" hidden="0" customWidth="1"/>
    <x:col min="9" max="9" width="39" hidden="0" customWidth="1"/>
    <x:col min="10" max="10" width="56" hidden="0" customWidth="1"/>
    <x:col min="11" max="11" width="18" hidden="0" customWidth="1"/>
    <x:col min="12" max="12" width="74" hidden="0" customWidth="1"/>
    <x:col min="13" max="13" width="44" hidden="0" customWidth="1"/>
    <x:col min="14" max="14" width="85" hidden="0" customWidth="1"/>
    <x:col min="15" max="15" width="15" hidden="0" customWidth="1"/>
  </x:cols>
  <x:sheetData>
    <x:row r="1" ht="32" customHeight="1">
      <x:c r="A1" s="5" t="str">
        <x:v>资料ID</x:v>
      </x:c>
      <x:c r="B1" s="5" t="str">
        <x:v>正文序号</x:v>
      </x:c>
      <x:c r="C1" s="5" t="str">
        <x:v>类别</x:v>
      </x:c>
      <x:c r="D1" s="5" t="str">
        <x:v>年份</x:v>
      </x:c>
      <x:c r="E1" s="5" t="str">
        <x:v>作者或机构</x:v>
      </x:c>
      <x:c r="F1" s="5" t="str">
        <x:v>题名</x:v>
      </x:c>
      <x:c r="G1" s="5" t="str">
        <x:v>可支持的依据</x:v>
      </x:c>
      <x:c r="H1" s="5" t="str">
        <x:v>不足与使用边界</x:v>
      </x:c>
      <x:c r="I1" s="5" t="str">
        <x:v>核验层级</x:v>
      </x:c>
      <x:c r="J1" s="5" t="str">
        <x:v>时效与适用状态</x:v>
      </x:c>
      <x:c r="K1" s="5" t="str">
        <x:v>拟用章节</x:v>
      </x:c>
      <x:c r="L1" s="5" t="str">
        <x:v>原文URL</x:v>
      </x:c>
      <x:c r="M1" s="5" t="str">
        <x:v>DOI</x:v>
      </x:c>
      <x:c r="N1" s="5" t="str">
        <x:v>参考文献条目</x:v>
      </x:c>
      <x:c r="O1" s="5" t="str">
        <x:v>检索日期</x:v>
      </x:c>
    </x:row>
    <x:row r="2" ht="64" customHeight="1">
      <x:c r="A2" s="7" t="str">
        <x:v>P01</x:v>
      </x:c>
      <x:c r="B2" s="10" t="n">
        <x:v>2</x:v>
      </x:c>
      <x:c r="C2" s="10" t="str">
        <x:v>政策背景</x:v>
      </x:c>
      <x:c r="D2" s="10" t="n">
        <x:v>2016</x:v>
      </x:c>
      <x:c r="E2" s="7" t="str">
        <x:v>国务院办公厅</x:v>
      </x:c>
      <x:c r="F2" s="7" t="str">
        <x:v>生产者责任延伸制度推行方案（国办发〔2016〕99号）</x:v>
      </x:c>
      <x:c r="G2" s="7" t="str">
        <x:v>生产者资源环境责任覆盖设计、消费、回收和处置。</x:v>
      </x:c>
      <x:c r="H2" s="7" t="str">
        <x:v>原则性制度，不能替代动力电池具体义务。</x:v>
      </x:c>
      <x:c r="I2" s="7" t="str">
        <x:v>官方全文</x:v>
      </x:c>
      <x:c r="J2" s="7" t="str">
        <x:v>历史制度背景；文件成文2016-12-25</x:v>
      </x:c>
      <x:c r="K2" s="7" t="str">
        <x:v>1；3</x:v>
      </x:c>
      <x:c r="L2" s="7" t="str">
        <x:v>https://app.www.gov.cn/govdata/gov/201701/03/396279/article.html</x:v>
      </x:c>
      <x:c r="M2" s="7"/>
      <x:c r="N2" s="7" t="str">
        <x:v>国务院办公厅．生产者责任延伸制度推行方案（国办发〔2016〕99号）[EB/OL]．2016[2026-10-19]．https://app.www.gov.cn/govdata/gov/201701/03/396279/article.html</x:v>
      </x:c>
      <x:c r="O2" s="9" t="d">
        <x:v>2026-10-20T00:00:00.000Z</x:v>
      </x:c>
    </x:row>
    <x:row r="3" ht="64" customHeight="1">
      <x:c r="A3" s="7" t="str">
        <x:v>P02</x:v>
      </x:c>
      <x:c r="B3" s="10" t="n">
        <x:v>36</x:v>
      </x:c>
      <x:c r="C3" s="10" t="str">
        <x:v>历史政策</x:v>
      </x:c>
      <x:c r="D3" s="10" t="n">
        <x:v>2018</x:v>
      </x:c>
      <x:c r="E3" s="7" t="str">
        <x:v>工业和信息化部等</x:v>
      </x:c>
      <x:c r="F3" s="7" t="str">
        <x:v>新能源汽车动力蓄电池回收利用管理暂行办法（工信部联节〔2018〕43号）</x:v>
      </x:c>
      <x:c r="G3" s="7" t="str">
        <x:v>已提出生产者责任、回收网络与信息管理。</x:v>
      </x:c>
      <x:c r="H3" s="7" t="str">
        <x:v>2026-04-01起废止；网页迁移年份不等于成文年份。</x:v>
      </x:c>
      <x:c r="I3" s="7" t="str">
        <x:v>官方原文检索</x:v>
      </x:c>
      <x:c r="J3" s="7" t="str">
        <x:v>已废止；仅用于历史比较</x:v>
      </x:c>
      <x:c r="K3" s="7" t="str">
        <x:v>3</x:v>
      </x:c>
      <x:c r="L3" s="7" t="str">
        <x:v>https://www.miit.gov.cn/jgsj/jns/gzdt/art/2020/art_9b320c0bd90c4b54aacbd505ff82bd6c.html</x:v>
      </x:c>
      <x:c r="M3" s="7"/>
      <x:c r="N3" s="7" t="str">
        <x:v>工业和信息化部等．新能源汽车动力蓄电池回收利用管理暂行办法（工信部联节〔2018〕43号）[EB/OL]．2018[2026-10-19]．https://www.miit.gov.cn/jgsj/jns/gzdt/art/2020/art_9b320c0bd90c4b54aacbd505ff82bd6c.html</x:v>
      </x:c>
      <x:c r="O3" s="9" t="d">
        <x:v>2026-10-20T00:00:00.000Z</x:v>
      </x:c>
    </x:row>
    <x:row r="4" ht="64" customHeight="1">
      <x:c r="A4" s="7" t="str">
        <x:v>P03</x:v>
      </x:c>
      <x:c r="B4" s="10" t="n">
        <x:v>37</x:v>
      </x:c>
      <x:c r="C4" s="10" t="str">
        <x:v>历史政策</x:v>
      </x:c>
      <x:c r="D4" s="10" t="n">
        <x:v>2018</x:v>
      </x:c>
      <x:c r="E4" s="7" t="str">
        <x:v>工业和信息化部</x:v>
      </x:c>
      <x:c r="F4" s="7" t="str">
        <x:v>新能源汽车动力蓄电池回收利用溯源管理暂行规定（公告2018年第35号）</x:v>
      </x:c>
      <x:c r="G4" s="7" t="str">
        <x:v>2018年已建立动力电池流向信息追溯安排。</x:v>
      </x:c>
      <x:c r="H4" s="7" t="str">
        <x:v>不得把溯源写成2026年首次出现。</x:v>
      </x:c>
      <x:c r="I4" s="7" t="str">
        <x:v>官方原文检索</x:v>
      </x:c>
      <x:c r="J4" s="7" t="str">
        <x:v>2018-08-01施行；2026-04-01废止</x:v>
      </x:c>
      <x:c r="K4" s="7" t="str">
        <x:v>3</x:v>
      </x:c>
      <x:c r="L4" s="7" t="str">
        <x:v>https://www.miit.gov.cn/jgsj/jns/wjfb/art/2020/art_b56b23d884934687aca9b346cafecbc4.html</x:v>
      </x:c>
      <x:c r="M4" s="7"/>
      <x:c r="N4" s="7" t="str">
        <x:v>工业和信息化部．新能源汽车动力蓄电池回收利用溯源管理暂行规定（公告2018年第35号）[EB/OL]．2018[2026-10-19]．https://www.miit.gov.cn/jgsj/jns/wjfb/art/2020/art_b56b23d884934687aca9b346cafecbc4.html</x:v>
      </x:c>
      <x:c r="O4" s="9" t="d">
        <x:v>2026-10-20T00:00:00.000Z</x:v>
      </x:c>
    </x:row>
    <x:row r="5" ht="64" customHeight="1">
      <x:c r="A5" s="7" t="str">
        <x:v>P04</x:v>
      </x:c>
      <x:c r="B5" s="10" t="n">
        <x:v>38</x:v>
      </x:c>
      <x:c r="C5" s="10" t="str">
        <x:v>试点政策</x:v>
      </x:c>
      <x:c r="D5" s="10" t="n">
        <x:v>2018</x:v>
      </x:c>
      <x:c r="E5" s="7" t="str">
        <x:v>工业和信息化部等七部门</x:v>
      </x:c>
      <x:c r="F5" s="7" t="str">
        <x:v>关于做好新能源汽车动力蓄电池回收利用试点工作的通知</x:v>
      </x:c>
      <x:c r="G5" s="7" t="str">
        <x:v>试点推动区域协同、技术研发和信息平台。</x:v>
      </x:c>
      <x:c r="H5" s="7" t="str">
        <x:v>历史试点任务不等于2026年现行统一规则。</x:v>
      </x:c>
      <x:c r="I5" s="7" t="str">
        <x:v>官方原文检索</x:v>
      </x:c>
      <x:c r="J5" s="7" t="str">
        <x:v>历史试点文件</x:v>
      </x:c>
      <x:c r="K5" s="7" t="str">
        <x:v>2；3</x:v>
      </x:c>
      <x:c r="L5" s="7" t="str">
        <x:v>https://www.miit.gov.cn/jgsj/jns/zhlyh/art/2020/art_314f3d9c2959446d9f2cbaaec21881b5.html</x:v>
      </x:c>
      <x:c r="M5" s="7"/>
      <x:c r="N5" s="7" t="str">
        <x:v>工业和信息化部等七部门．关于做好新能源汽车动力蓄电池回收利用试点工作的通知[EB/OL]．2018[2026-10-19]．https://www.miit.gov.cn/jgsj/jns/zhlyh/art/2020/art_314f3d9c2959446d9f2cbaaec21881b5.html</x:v>
      </x:c>
      <x:c r="O5" s="9" t="d">
        <x:v>2026-10-20T00:00:00.000Z</x:v>
      </x:c>
    </x:row>
    <x:row r="6" ht="64" customHeight="1">
      <x:c r="A6" s="7" t="str">
        <x:v>P05</x:v>
      </x:c>
      <x:c r="B6" s="10" t="n">
        <x:v>39</x:v>
      </x:c>
      <x:c r="C6" s="10" t="str">
        <x:v>历史政策</x:v>
      </x:c>
      <x:c r="D6" s="10" t="n">
        <x:v>2019</x:v>
      </x:c>
      <x:c r="E6" s="7" t="str">
        <x:v>工业和信息化部</x:v>
      </x:c>
      <x:c r="F6" s="7" t="str">
        <x:v>新能源汽车动力蓄电池回收服务网点建设和运营指南（公告2019年第46号）</x:v>
      </x:c>
      <x:c r="G6" s="7" t="str">
        <x:v>细化回收网点建设和运营要求。</x:v>
      </x:c>
      <x:c r="H6" s="7" t="str">
        <x:v>新办法已明确废止；不作现行义务依据。</x:v>
      </x:c>
      <x:c r="I6" s="7" t="str">
        <x:v>官方题录与原文检索</x:v>
      </x:c>
      <x:c r="J6" s="7" t="str">
        <x:v>2026-04-01废止</x:v>
      </x:c>
      <x:c r="K6" s="7" t="str">
        <x:v>3</x:v>
      </x:c>
      <x:c r="L6" s="7" t="str">
        <x:v>https://wap.miit.gov.cn/zwgk/zcwj/wjfb/gg/art/2020/art_556db04398224c2baf5d88fdf82121bd.html</x:v>
      </x:c>
      <x:c r="M6" s="7"/>
      <x:c r="N6" s="7" t="str">
        <x:v>工业和信息化部．新能源汽车动力蓄电池回收服务网点建设和运营指南（公告2019年第46号）[EB/OL]．2019[2026-10-19]．https://wap.miit.gov.cn/zwgk/zcwj/wjfb/gg/art/2020/art_556db04398224c2baf5d88fdf82121bd.html</x:v>
      </x:c>
      <x:c r="O6" s="9" t="d">
        <x:v>2026-10-20T00:00:00.000Z</x:v>
      </x:c>
    </x:row>
    <x:row r="7" ht="64" customHeight="1">
      <x:c r="A7" s="7" t="str">
        <x:v>P06</x:v>
      </x:c>
      <x:c r="B7" s="10" t="n">
        <x:v>40</x:v>
      </x:c>
      <x:c r="C7" s="10" t="str">
        <x:v>历史政策</x:v>
      </x:c>
      <x:c r="D7" s="10" t="n">
        <x:v>2021</x:v>
      </x:c>
      <x:c r="E7" s="7" t="str">
        <x:v>工业和信息化部等五部门</x:v>
      </x:c>
      <x:c r="F7" s="7" t="str">
        <x:v>新能源汽车动力蓄电池梯次利用管理办法（工信部联节〔2021〕114号）</x:v>
      </x:c>
      <x:c r="G7" s="7" t="str">
        <x:v>曾以梯次产品质量、责任及回收作专门管理。</x:v>
      </x:c>
      <x:c r="H7" s="7" t="str">
        <x:v>2026年制度已变化；不能直接沿用其鼓励方向。</x:v>
      </x:c>
      <x:c r="I7" s="7" t="str">
        <x:v>官方原文检索</x:v>
      </x:c>
      <x:c r="J7" s="7" t="str">
        <x:v>2026-04-01废止</x:v>
      </x:c>
      <x:c r="K7" s="7" t="str">
        <x:v>3</x:v>
      </x:c>
      <x:c r="L7" s="7" t="str">
        <x:v>https://www.miit.gov.cn/zwgk/zcwj/wjfb/tz/art/2021/art_1f80e80e76414a9698a076c03eac4d0b.html</x:v>
      </x:c>
      <x:c r="M7" s="7"/>
      <x:c r="N7" s="7" t="str">
        <x:v>工业和信息化部等五部门．新能源汽车动力蓄电池梯次利用管理办法（工信部联节〔2021〕114号）[EB/OL]．2021[2026-10-19]．https://www.miit.gov.cn/zwgk/zcwj/wjfb/tz/art/2021/art_1f80e80e76414a9698a076c03eac4d0b.html</x:v>
      </x:c>
      <x:c r="O7" s="9" t="d">
        <x:v>2026-10-20T00:00:00.000Z</x:v>
      </x:c>
    </x:row>
    <x:row r="8" ht="64" customHeight="1">
      <x:c r="A8" s="7" t="str">
        <x:v>P07</x:v>
      </x:c>
      <x:c r="B8" s="10" t="n">
        <x:v>41</x:v>
      </x:c>
      <x:c r="C8" s="10" t="str">
        <x:v>行业规范</x:v>
      </x:c>
      <x:c r="D8" s="10" t="n">
        <x:v>2024</x:v>
      </x:c>
      <x:c r="E8" s="7" t="str">
        <x:v>工业和信息化部</x:v>
      </x:c>
      <x:c r="F8" s="7" t="str">
        <x:v>新能源汽车废旧动力电池综合利用行业规范条件（2024年本）（公告2024年第42号）</x:v>
      </x:c>
      <x:c r="G8" s="7" t="str">
        <x:v>2024年修订行业技术、安全环保和规范管理要求。</x:v>
      </x:c>
      <x:c r="H8" s="7" t="str">
        <x:v>须叠加2026年第20号公告阅读；规范名单不等于全部行政许可。</x:v>
      </x:c>
      <x:c r="I8" s="7" t="str">
        <x:v>官方公告；附件检索</x:v>
      </x:c>
      <x:c r="J8" s="7" t="str">
        <x:v>2024-12-16成文；2026-07-30废止梯次利用有关条款</x:v>
      </x:c>
      <x:c r="K8" s="7" t="str">
        <x:v>3；4</x:v>
      </x:c>
      <x:c r="L8" s="7" t="str">
        <x:v>https://www.miit.gov.cn/jgsj/jns/wjfb/art/2024/art_a05ad4164f20482088a97fcbff80b987.html</x:v>
      </x:c>
      <x:c r="M8" s="7"/>
      <x:c r="N8" s="7" t="str">
        <x:v>工业和信息化部．新能源汽车废旧动力电池综合利用行业规范条件（2024年本）（公告2024年第42号）[EB/OL]．2024[2026-10-19]．https://www.miit.gov.cn/jgsj/jns/wjfb/art/2024/art_a05ad4164f20482088a97fcbff80b987.html</x:v>
      </x:c>
      <x:c r="O8" s="9" t="d">
        <x:v>2026-10-20T00:00:00.000Z</x:v>
      </x:c>
    </x:row>
    <x:row r="9" ht="64" customHeight="1">
      <x:c r="A9" s="7" t="str">
        <x:v>P08</x:v>
      </x:c>
      <x:c r="B9" s="10"/>
      <x:c r="C9" s="10" t="str">
        <x:v>宏观政策</x:v>
      </x:c>
      <x:c r="D9" s="10" t="n">
        <x:v>2024</x:v>
      </x:c>
      <x:c r="E9" s="7" t="str">
        <x:v>国务院办公厅</x:v>
      </x:c>
      <x:c r="F9" s="7" t="str">
        <x:v>关于加快构建废弃物循环利用体系的意见</x:v>
      </x:c>
      <x:c r="G9" s="7" t="str">
        <x:v>把废弃物循环利用纳入绿色转型体系。</x:v>
      </x:c>
      <x:c r="H9" s="7" t="str">
        <x:v>宏观方向，不能直接证明电池回收政策效果。</x:v>
      </x:c>
      <x:c r="I9" s="7" t="str">
        <x:v>政府网站原文</x:v>
      </x:c>
      <x:c r="J9" s="7" t="str">
        <x:v>宏观背景</x:v>
      </x:c>
      <x:c r="K9" s="7" t="str">
        <x:v>背景储备</x:v>
      </x:c>
      <x:c r="L9" s="7" t="str">
        <x:v>https://www.mee.gov.cn/zcwj/gwywj/202402/t20240220_1066422.shtml</x:v>
      </x:c>
      <x:c r="M9" s="7"/>
      <x:c r="N9" s="7" t="str">
        <x:v>国务院办公厅．关于加快构建废弃物循环利用体系的意见[EB/OL]．2024[2026-10-19]．https://www.mee.gov.cn/zcwj/gwywj/202402/t20240220_1066422.shtml</x:v>
      </x:c>
      <x:c r="O9" s="9" t="d">
        <x:v>2026-10-20T00:00:00.000Z</x:v>
      </x:c>
    </x:row>
    <x:row r="10" ht="64" customHeight="1">
      <x:c r="A10" s="7" t="str">
        <x:v>P09</x:v>
      </x:c>
      <x:c r="B10" s="10" t="n">
        <x:v>1</x:v>
      </x:c>
      <x:c r="C10" s="10" t="str">
        <x:v>现行规章</x:v>
      </x:c>
      <x:c r="D10" s="10" t="n">
        <x:v>2026</x:v>
      </x:c>
      <x:c r="E10" s="7" t="str">
        <x:v>工业和信息化部等六部门</x:v>
      </x:c>
      <x:c r="F10" s="7" t="str">
        <x:v>新能源汽车废旧动力电池回收和综合利用管理暂行办法（六部门令第73号）</x:v>
      </x:c>
      <x:c r="G10" s="7" t="str">
        <x:v>规定主体责任、合法交接、编码和信息报送、联合监督及法律责任。</x:v>
      </x:c>
      <x:c r="H10" s="7" t="str">
        <x:v>数字身份证细则、缺电池车辆认定具体办法另行规定；不能推定已全部落地。</x:v>
      </x:c>
      <x:c r="I10" s="7" t="str">
        <x:v>官方全文；重点条款逐条核对</x:v>
      </x:c>
      <x:c r="J10" s="7" t="str">
        <x:v>2025-12-31公布；2026-01-16公开；2026-04-01施行</x:v>
      </x:c>
      <x:c r="K10" s="7" t="str">
        <x:v>1；3—6</x:v>
      </x:c>
      <x:c r="L10" s="7" t="str">
        <x:v>https://www.miit.gov.cn/gyhxxhb/jgsj/cyzcyfgs/bmgz/jdcjxl/art/2026/art_392462fdc40c415ea4a4129cac3028c2.html</x:v>
      </x:c>
      <x:c r="M10" s="7"/>
      <x:c r="N10" s="7" t="str">
        <x:v>工业和信息化部等六部门．新能源汽车废旧动力电池回收和综合利用管理暂行办法（六部门令第73号）[EB/OL]．2026[2026-10-19]．https://www.miit.gov.cn/gyhxxhb/jgsj/cyzcyfgs/bmgz/jdcjxl/art/2026/art_392462fdc40c415ea4a4129cac3028c2.html</x:v>
      </x:c>
      <x:c r="O10" s="9" t="d">
        <x:v>2026-10-20T00:00:00.000Z</x:v>
      </x:c>
    </x:row>
    <x:row r="11" ht="64" customHeight="1">
      <x:c r="A11" s="7" t="str">
        <x:v>P10</x:v>
      </x:c>
      <x:c r="B11" s="10" t="n">
        <x:v>42</x:v>
      </x:c>
      <x:c r="C11" s="10" t="str">
        <x:v>官方解读</x:v>
      </x:c>
      <x:c r="D11" s="10" t="n">
        <x:v>2026</x:v>
      </x:c>
      <x:c r="E11" s="7" t="str">
        <x:v>工业和信息化部</x:v>
      </x:c>
      <x:c r="F11" s="7" t="str">
        <x:v>新能源汽车废旧动力电池回收和综合利用管理暂行办法解读</x:v>
      </x:c>
      <x:c r="G11" s="7" t="str">
        <x:v>解释全渠道、全链条、全生命周期治理思路。</x:v>
      </x:c>
      <x:c r="H11" s="7" t="str">
        <x:v>解读不替代规章；2025行动方案仅核验官方提及，未获得其完整文本。</x:v>
      </x:c>
      <x:c r="I11" s="7" t="str">
        <x:v>官方解读全文</x:v>
      </x:c>
      <x:c r="J11" s="7" t="str">
        <x:v>2026-01-16公开</x:v>
      </x:c>
      <x:c r="K11" s="7" t="str">
        <x:v>3—5</x:v>
      </x:c>
      <x:c r="L11" s="7" t="str">
        <x:v>https://www.miit.gov.cn/zwgk/zcjd/art/2026/art_34b7d0c460e54151a81fc981ae12fd98.html</x:v>
      </x:c>
      <x:c r="M11" s="7"/>
      <x:c r="N11" s="7" t="str">
        <x:v>工业和信息化部．新能源汽车废旧动力电池回收和综合利用管理暂行办法解读[EB/OL]．2026[2026-10-19]．https://www.miit.gov.cn/zwgk/zcjd/art/2026/art_34b7d0c460e54151a81fc981ae12fd98.html</x:v>
      </x:c>
      <x:c r="O11" s="9" t="d">
        <x:v>2026-10-20T00:00:00.000Z</x:v>
      </x:c>
    </x:row>
    <x:row r="12" ht="64" customHeight="1">
      <x:c r="A12" s="7" t="str">
        <x:v>P11</x:v>
      </x:c>
      <x:c r="B12" s="10" t="n">
        <x:v>8</x:v>
      </x:c>
      <x:c r="C12" s="10" t="str">
        <x:v>官方发布会与统计</x:v>
      </x:c>
      <x:c r="D12" s="10" t="n">
        <x:v>2026</x:v>
      </x:c>
      <x:c r="E12" s="7" t="str">
        <x:v>工业和信息化部</x:v>
      </x:c>
      <x:c r="F12" s="7" t="str">
        <x:v>新能源汽车废旧动力电池回收和综合利用管理暂行办法新闻发布会</x:v>
      </x:c>
      <x:c r="G12" s="7" t="str">
        <x:v>2025年新能源汽车销量1649万辆；废旧动力电池综合利用量超过40万吨。</x:v>
      </x:c>
      <x:c r="H12" s="7" t="str">
        <x:v>利用量含多种来源，不能推算退役电池正规回收率；超过40不可当精确40。</x:v>
      </x:c>
      <x:c r="I12" s="7" t="str">
        <x:v>官方发布会原文</x:v>
      </x:c>
      <x:c r="J12" s="7" t="str">
        <x:v>2026-01-16；统计期2025年</x:v>
      </x:c>
      <x:c r="K12" s="7" t="str">
        <x:v>1；4</x:v>
      </x:c>
      <x:c r="L12" s="7" t="str">
        <x:v>https://www.miit.gov.cn/xwfb/xwfbh/bxwfbh/art/2026/art_c5c9031e409e468eb4004d82fd394241.html</x:v>
      </x:c>
      <x:c r="M12" s="7"/>
      <x:c r="N12" s="7" t="str">
        <x:v>工业和信息化部．新能源汽车废旧动力电池回收和综合利用管理暂行办法新闻发布会[EB/OL]．2026[2026-10-19]．https://www.miit.gov.cn/xwfb/xwfbh/bxwfbh/art/2026/art_c5c9031e409e468eb4004d82fd394241.html</x:v>
      </x:c>
      <x:c r="O12" s="9" t="d">
        <x:v>2026-10-20T00:00:00.000Z</x:v>
      </x:c>
    </x:row>
    <x:row r="13" ht="64" customHeight="1">
      <x:c r="A13" s="7" t="str">
        <x:v>P12</x:v>
      </x:c>
      <x:c r="B13" s="10" t="n">
        <x:v>58</x:v>
      </x:c>
      <x:c r="C13" s="10" t="str">
        <x:v>专项执法</x:v>
      </x:c>
      <x:c r="D13" s="10" t="n">
        <x:v>2026</x:v>
      </x:c>
      <x:c r="E13" s="7" t="str">
        <x:v>工业和信息化部办公厅等五部门</x:v>
      </x:c>
      <x:c r="F13" s="7" t="str">
        <x:v>关于开展规范废旧动力电池回收利用联合执法专项行动的通知（工信厅联节函〔2026〕191号）</x:v>
      </x:c>
      <x:c r="G13" s="7" t="str">
        <x:v>行动检查交售、产品质量、溯源、污染防治和无照经营等问题。</x:v>
      </x:c>
      <x:c r="H13" s="7" t="str">
        <x:v>2026年4—6月专项安排不能表述为检索日仍在进行，也不能当完成效果。</x:v>
      </x:c>
      <x:c r="I13" s="7" t="str">
        <x:v>官方全文</x:v>
      </x:c>
      <x:c r="J13" s="7" t="str">
        <x:v>2026-04-27印发；04-28网页公开</x:v>
      </x:c>
      <x:c r="K13" s="7" t="str">
        <x:v>4；5</x:v>
      </x:c>
      <x:c r="L13" s="7" t="str">
        <x:v>https://wap.miit.gov.cn/jgsj/jns/zhlyh/art/2026/art_78072003138f4dcca6dbde587ebcf16d.html</x:v>
      </x:c>
      <x:c r="M13" s="7"/>
      <x:c r="N13" s="7" t="str">
        <x:v>工业和信息化部办公厅等五部门．关于开展规范废旧动力电池回收利用联合执法专项行动的通知（工信厅联节函〔2026〕191号）[EB/OL]．2026[2026-10-19]．https://wap.miit.gov.cn/jgsj/jns/zhlyh/art/2026/art_78072003138f4dcca6dbde587ebcf16d.html</x:v>
      </x:c>
      <x:c r="O13" s="9" t="d">
        <x:v>2026-10-20T00:00:00.000Z</x:v>
      </x:c>
    </x:row>
    <x:row r="14" ht="64" customHeight="1">
      <x:c r="A14" s="7" t="str">
        <x:v>P13</x:v>
      </x:c>
      <x:c r="B14" s="10"/>
      <x:c r="C14" s="10" t="str">
        <x:v>官方解读</x:v>
      </x:c>
      <x:c r="D14" s="10" t="n">
        <x:v>2026</x:v>
      </x:c>
      <x:c r="E14" s="7" t="str">
        <x:v>工业和信息化部</x:v>
      </x:c>
      <x:c r="F14" s="7" t="str">
        <x:v>关于开展规范废旧动力电池回收利用联合执法专项行动的通知政策解读</x:v>
      </x:c>
      <x:c r="G14" s="7" t="str">
        <x:v>说明联合执法背景、范围与组织过程。</x:v>
      </x:c>
      <x:c r="H14" s="7" t="str">
        <x:v>解释政策意图，不是行动评估报告。</x:v>
      </x:c>
      <x:c r="I14" s="7" t="str">
        <x:v>官方解读全文</x:v>
      </x:c>
      <x:c r="J14" s="7" t="str">
        <x:v>2026年发布</x:v>
      </x:c>
      <x:c r="K14" s="7" t="str">
        <x:v>资料储备</x:v>
      </x:c>
      <x:c r="L14" s="7" t="str">
        <x:v>https://www.miit.gov.cn/jgsj/jns/zhlyh/art/2026/art_a8abaaf4ce1d4f8f9d37c2d3aa5f4f0c.html</x:v>
      </x:c>
      <x:c r="M14" s="7"/>
      <x:c r="N14" s="7" t="str">
        <x:v>工业和信息化部．关于开展规范废旧动力电池回收利用联合执法专项行动的通知政策解读[EB/OL]．2026[2026-10-19]．https://www.miit.gov.cn/jgsj/jns/zhlyh/art/2026/art_a8abaaf4ce1d4f8f9d37c2d3aa5f4f0c.html</x:v>
      </x:c>
      <x:c r="O14" s="9" t="d">
        <x:v>2026-10-20T00:00:00.000Z</x:v>
      </x:c>
    </x:row>
    <x:row r="15" ht="64" customHeight="1">
      <x:c r="A15" s="7" t="str">
        <x:v>P14</x:v>
      </x:c>
      <x:c r="B15" s="10" t="n">
        <x:v>43</x:v>
      </x:c>
      <x:c r="C15" s="10" t="str">
        <x:v>政策调整</x:v>
      </x:c>
      <x:c r="D15" s="10" t="n">
        <x:v>2026</x:v>
      </x:c>
      <x:c r="E15" s="7" t="str">
        <x:v>工业和信息化部</x:v>
      </x:c>
      <x:c r="F15" s="7" t="str">
        <x:v>关于废止和修订新能源汽车废旧动力电池“梯次利用”相关政策标准以及规范有关行业活动的公告（2026年第20号）</x:v>
      </x:c>
      <x:c r="G15" s="7" t="str">
        <x:v>废止2024规范中梯次利用条款，停止其公告管理；再生利用企业名单继续有效。</x:v>
      </x:c>
      <x:c r="H15" s="7" t="str">
        <x:v>禁止范围、标准梳理与名单变化应分别表述，不能泛化成所有电池再利用技术均被禁止。</x:v>
      </x:c>
      <x:c r="I15" s="7" t="str">
        <x:v>官方全文</x:v>
      </x:c>
      <x:c r="J15" s="7" t="str">
        <x:v>2026-07-30成文并公开</x:v>
      </x:c>
      <x:c r="K15" s="7" t="str">
        <x:v>3；5；6</x:v>
      </x:c>
      <x:c r="L15" s="7" t="str">
        <x:v>https://www.miit.gov.cn/jgsj/jns/wjfb/art/2026/art_945f3df30a984763877679740ff296a3.html</x:v>
      </x:c>
      <x:c r="M15" s="7"/>
      <x:c r="N15" s="7" t="str">
        <x:v>工业和信息化部．关于废止和修订新能源汽车废旧动力电池“梯次利用”相关政策标准以及规范有关行业活动的公告（2026年第20号）[EB/OL]．2026[2026-10-19]．https://www.miit.gov.cn/jgsj/jns/wjfb/art/2026/art_945f3df30a984763877679740ff296a3.html</x:v>
      </x:c>
      <x:c r="O15" s="9" t="d">
        <x:v>2026-10-20T00:00:00.000Z</x:v>
      </x:c>
    </x:row>
    <x:row r="16" ht="64" customHeight="1">
      <x:c r="A16" s="7" t="str">
        <x:v>P15</x:v>
      </x:c>
      <x:c r="B16" s="10" t="n">
        <x:v>50</x:v>
      </x:c>
      <x:c r="C16" s="10" t="str">
        <x:v>官方解读</x:v>
      </x:c>
      <x:c r="D16" s="10" t="n">
        <x:v>2026</x:v>
      </x:c>
      <x:c r="E16" s="7" t="str">
        <x:v>工业和信息化部</x:v>
      </x:c>
      <x:c r="F16" s="7" t="str">
        <x:v>关于废止和修订新能源汽车废旧动力电池“梯次利用”相关政策标准以及规范有关行业活动公告的解读</x:v>
      </x:c>
      <x:c r="G16" s="7" t="str">
        <x:v>说明新定义、产品质量和政策标准协同调整。</x:v>
      </x:c>
      <x:c r="H16" s="7" t="str">
        <x:v>不得用历史梯次利用图示代替现行合法用途判断。</x:v>
      </x:c>
      <x:c r="I16" s="7" t="str">
        <x:v>官方解读全文</x:v>
      </x:c>
      <x:c r="J16" s="7" t="str">
        <x:v>2026-07-30公开</x:v>
      </x:c>
      <x:c r="K16" s="7" t="str">
        <x:v>3；5</x:v>
      </x:c>
      <x:c r="L16" s="7" t="str">
        <x:v>https://wap.miit.gov.cn/jgsj/jns/gzdt/art/2026/art_8e6ac8673c314be59faa89bbd1e8401c.html</x:v>
      </x:c>
      <x:c r="M16" s="7"/>
      <x:c r="N16" s="7" t="str">
        <x:v>工业和信息化部．关于废止和修订新能源汽车废旧动力电池“梯次利用”相关政策标准以及规范有关行业活动公告的解读[EB/OL]．2026[2026-10-19]．https://wap.miit.gov.cn/jgsj/jns/gzdt/art/2026/art_8e6ac8673c314be59faa89bbd1e8401c.html</x:v>
      </x:c>
      <x:c r="O16" s="9" t="d">
        <x:v>2026-10-20T00:00:00.000Z</x:v>
      </x:c>
    </x:row>
    <x:row r="17" ht="64" customHeight="1">
      <x:c r="A17" s="7" t="str">
        <x:v>P16</x:v>
      </x:c>
      <x:c r="B17" s="10" t="n">
        <x:v>45</x:v>
      </x:c>
      <x:c r="C17" s="10" t="str">
        <x:v>官方政策进展</x:v>
      </x:c>
      <x:c r="D17" s="10" t="n">
        <x:v>2026</x:v>
      </x:c>
      <x:c r="E17" s="7" t="str">
        <x:v>工业和信息化部</x:v>
      </x:c>
      <x:c r="F17" s="7" t="str">
        <x:v>介绍全力抓好“十五五”规划实施、加快推进新型工业化有关情况</x:v>
      </x:c>
      <x:c r="G17" s="7" t="str">
        <x:v>提出十五五期间研究相关行政法规、实施动力电池数字身份证；2030年综合利用量争取达到百万吨级以上。</x:v>
      </x:c>
      <x:c r="H17" s="7" t="str">
        <x:v>政策部署不能证明技术平台和配套细则均已完成。</x:v>
      </x:c>
      <x:c r="I17" s="7" t="str">
        <x:v>官方发布会全文；资源循环利用答问段</x:v>
      </x:c>
      <x:c r="J17" s="7" t="str">
        <x:v>2026-08-26发布会</x:v>
      </x:c>
      <x:c r="K17" s="7" t="str">
        <x:v>3.2</x:v>
      </x:c>
      <x:c r="L17" s="7" t="str">
        <x:v>https://www.miit.gov.cn/xwfb/bldhd/art/2026/art_934ddb14d33e4cd5b787d88a15c5c0eb.html</x:v>
      </x:c>
      <x:c r="M17" s="7"/>
      <x:c r="N17" s="7" t="str">
        <x:v>工业和信息化部．介绍全力抓好“十五五”规划实施、加快推进新型工业化有关情况[EB/OL]．2026[2026-10-20]．https://www.miit.gov.cn/xwfb/bldhd/art/2026/art_934ddb14d33e4cd5b787d88a15c5c0eb.html</x:v>
      </x:c>
      <x:c r="O17" s="9" t="d">
        <x:v>2026-10-20T00:00:00.000Z</x:v>
      </x:c>
    </x:row>
    <x:row r="18" ht="64" customHeight="1">
      <x:c r="A18" s="7" t="str">
        <x:v>S01</x:v>
      </x:c>
      <x:c r="B18" s="10" t="n">
        <x:v>59</x:v>
      </x:c>
      <x:c r="C18" s="10" t="str">
        <x:v>生态环境标准</x:v>
      </x:c>
      <x:c r="D18" s="10" t="n">
        <x:v>2021</x:v>
      </x:c>
      <x:c r="E18" s="7" t="str">
        <x:v>生态环境部</x:v>
      </x:c>
      <x:c r="F18" s="7" t="str">
        <x:v>废锂离子动力蓄电池处理污染控制技术规范（试行）（HJ 1186—2021）</x:v>
      </x:c>
      <x:c r="G18" s="7" t="str">
        <x:v>覆盖处理过程污染控制和运行环境管理。</x:v>
      </x:c>
      <x:c r="H18" s="7" t="str">
        <x:v>本稿仅引用标准范围，未自行计算工艺环境效益。</x:v>
      </x:c>
      <x:c r="I18" s="7" t="str">
        <x:v>官方标准发布页及范围</x:v>
      </x:c>
      <x:c r="J18" s="7" t="str">
        <x:v>2022-01-01实施</x:v>
      </x:c>
      <x:c r="K18" s="7" t="str">
        <x:v>4；5</x:v>
      </x:c>
      <x:c r="L18" s="7" t="str">
        <x:v>https://www.mee.gov.cn/ywgz/fgbz/bz/bzwb/gthw/qtxgbz/202108/t20210820_858544.shtml</x:v>
      </x:c>
      <x:c r="M18" s="7"/>
      <x:c r="N18" s="7" t="str">
        <x:v>生态环境部．废锂离子动力蓄电池处理污染控制技术规范（试行）（HJ 1186—2021）[EB/OL]．2021[2026-10-19]．https://www.mee.gov.cn/ywgz/fgbz/bz/bzwb/gthw/qtxgbz/202108/t20210820_858544.shtml</x:v>
      </x:c>
      <x:c r="O18" s="9" t="d">
        <x:v>2026-10-20T00:00:00.000Z</x:v>
      </x:c>
    </x:row>
    <x:row r="19" ht="64" customHeight="1">
      <x:c r="A19" s="7" t="str">
        <x:v>S02</x:v>
      </x:c>
      <x:c r="B19" s="10"/>
      <x:c r="C19" s="10" t="str">
        <x:v>官方标准解读</x:v>
      </x:c>
      <x:c r="D19" s="10" t="n">
        <x:v>2021</x:v>
      </x:c>
      <x:c r="E19" s="7" t="str">
        <x:v>生态环境部固体废物与化学品司</x:v>
      </x:c>
      <x:c r="F19" s="7" t="str">
        <x:v>就废锂离子动力蓄电池处理污染控制技术规范（试行）答记者问</x:v>
      </x:c>
      <x:c r="G19" s="7" t="str">
        <x:v>污染防控涉及废气、废水、固废和噪声等。</x:v>
      </x:c>
      <x:c r="H19" s="7" t="str">
        <x:v>管理要求不等于企业已达标。</x:v>
      </x:c>
      <x:c r="I19" s="7" t="str">
        <x:v>官方解读原文检索</x:v>
      </x:c>
      <x:c r="J19" s="7" t="str">
        <x:v>2021年公开</x:v>
      </x:c>
      <x:c r="K19" s="7" t="str">
        <x:v>资料储备</x:v>
      </x:c>
      <x:c r="L19" s="7" t="str">
        <x:v>https://www.mee.gov.cn/ywdt/zbft/202108/t20210820_858581.shtml</x:v>
      </x:c>
      <x:c r="M19" s="7"/>
      <x:c r="N19" s="7" t="str">
        <x:v>生态环境部固体废物与化学品司．就废锂离子动力蓄电池处理污染控制技术规范（试行）答记者问[EB/OL]．2021[2026-10-19]．https://www.mee.gov.cn/ywdt/zbft/202108/t20210820_858581.shtml</x:v>
      </x:c>
      <x:c r="O19" s="9" t="d">
        <x:v>2026-10-20T00:00:00.000Z</x:v>
      </x:c>
    </x:row>
    <x:row r="20" ht="64" customHeight="1">
      <x:c r="A20" s="7" t="str">
        <x:v>S03</x:v>
      </x:c>
      <x:c r="B20" s="10" t="n">
        <x:v>55</x:v>
      </x:c>
      <x:c r="C20" s="10" t="str">
        <x:v>国家标准</x:v>
      </x:c>
      <x:c r="D20" s="10" t="n">
        <x:v>2023</x:v>
      </x:c>
      <x:c r="E20" s="7" t="str">
        <x:v>国家市场监督管理总局等</x:v>
      </x:c>
      <x:c r="F20" s="7" t="str">
        <x:v>车用动力电池回收利用 管理规范 第2部分：回收服务网点（GB/T 38698.2—2023）</x:v>
      </x:c>
      <x:c r="G20" s="7" t="str">
        <x:v>2026规章鼓励按此标准建设网点。</x:v>
      </x:c>
      <x:c r="H20" s="7" t="str">
        <x:v>推荐性标准的鼓励采用与法定安全环保义务须区分。</x:v>
      </x:c>
      <x:c r="I20" s="7" t="str">
        <x:v>官方题录及状态；未逐条评注全文</x:v>
      </x:c>
      <x:c r="J20" s="7" t="str">
        <x:v>官方检索为现行；2024-12-31实施</x:v>
      </x:c>
      <x:c r="K20" s="7" t="str">
        <x:v>4</x:v>
      </x:c>
      <x:c r="L20" s="7" t="str">
        <x:v>https://openstd.samr.gov.cn/bzgk/std/newGbInfo?hcno=6E64F10B0819031ED30153D3AF5B661C</x:v>
      </x:c>
      <x:c r="M20" s="7"/>
      <x:c r="N20" s="7" t="str">
        <x:v>国家市场监督管理总局等．车用动力电池回收利用 管理规范 第2部分：回收服务网点（GB/T 38698.2—2023）[EB/OL]．2023[2026-10-19]．https://openstd.samr.gov.cn/bzgk/std/newGbInfo?hcno=6E64F10B0819031ED30153D3AF5B661C</x:v>
      </x:c>
      <x:c r="O20" s="9" t="d">
        <x:v>2026-10-20T00:00:00.000Z</x:v>
      </x:c>
    </x:row>
    <x:row r="21" ht="64" customHeight="1">
      <x:c r="A21" s="7" t="str">
        <x:v>S04</x:v>
      </x:c>
      <x:c r="B21" s="10"/>
      <x:c r="C21" s="10" t="str">
        <x:v>官方办事指南</x:v>
      </x:c>
      <x:c r="D21" s="10" t="n">
        <x:v>2025</x:v>
      </x:c>
      <x:c r="E21" s="7" t="str">
        <x:v>工业和信息化部</x:v>
      </x:c>
      <x:c r="F21" s="7" t="str">
        <x:v>汽车动力蓄电池编码备案</x:v>
      </x:c>
      <x:c r="G21" s="7" t="str">
        <x:v>编码备案与GB/T 34014衔接。</x:v>
      </x:c>
      <x:c r="H21" s="7" t="str">
        <x:v>备案页面不等于数字身份证全部技术规范。</x:v>
      </x:c>
      <x:c r="I21" s="7" t="str">
        <x:v>官方办事页检索</x:v>
      </x:c>
      <x:c r="J21" s="7" t="str">
        <x:v>2025年办事页面</x:v>
      </x:c>
      <x:c r="K21" s="7" t="str">
        <x:v>资料储备</x:v>
      </x:c>
      <x:c r="L21" s="7" t="str">
        <x:v>https://ythzxfw.miit.gov.cn/bssx/alx/bafw/qcly/art/2025/art_75bfedb47b4a49aa9fa63a21e6f0f17d.html</x:v>
      </x:c>
      <x:c r="M21" s="7"/>
      <x:c r="N21" s="7" t="str">
        <x:v>工业和信息化部．汽车动力蓄电池编码备案[EB/OL]．2025[2026-10-19]．https://ythzxfw.miit.gov.cn/bssx/alx/bafw/qcly/art/2025/art_75bfedb47b4a49aa9fa63a21e6f0f17d.html</x:v>
      </x:c>
      <x:c r="O21" s="9" t="d">
        <x:v>2026-10-20T00:00:00.000Z</x:v>
      </x:c>
    </x:row>
    <x:row r="22" ht="64" customHeight="1">
      <x:c r="A22" s="7" t="str">
        <x:v>D01</x:v>
      </x:c>
      <x:c r="B22" s="10" t="n">
        <x:v>6</x:v>
      </x:c>
      <x:c r="C22" s="10" t="str">
        <x:v>官方统计</x:v>
      </x:c>
      <x:c r="D22" s="10" t="n">
        <x:v>2024</x:v>
      </x:c>
      <x:c r="E22" s="7" t="str">
        <x:v>工业和信息化部</x:v>
      </x:c>
      <x:c r="F22" s="7" t="str">
        <x:v>2023年汽车工业经济运行情况</x:v>
      </x:c>
      <x:c r="G22" s="7" t="str">
        <x:v>2023年新能源汽车产量958.7、销量949.5万辆，销量占汽车总销量31.6%。</x:v>
      </x:c>
      <x:c r="H22" s="7" t="str">
        <x:v>行业销量口径；不能与国内零售渗透率或上险量混用。</x:v>
      </x:c>
      <x:c r="I22" s="7" t="str">
        <x:v>工信部系统官方转载原文检索</x:v>
      </x:c>
      <x:c r="J22" s="7" t="str">
        <x:v>统计期2023年</x:v>
      </x:c>
      <x:c r="K22" s="7" t="str">
        <x:v>1；图3</x:v>
      </x:c>
      <x:c r="L22" s="7" t="str">
        <x:v>https://cqca.miit.gov.cn/xwdt/szyw/art/2024/art_c027c95c78de4ca3a295077ba84a5528.html</x:v>
      </x:c>
      <x:c r="M22" s="7"/>
      <x:c r="N22" s="7" t="str">
        <x:v>工业和信息化部．2023年汽车工业经济运行情况[EB/OL]．2024[2026-10-19]．https://cqca.miit.gov.cn/xwdt/szyw/art/2024/art_c027c95c78de4ca3a295077ba84a5528.html</x:v>
      </x:c>
      <x:c r="O22" s="9" t="d">
        <x:v>2026-10-20T00:00:00.000Z</x:v>
      </x:c>
    </x:row>
    <x:row r="23" ht="64" customHeight="1">
      <x:c r="A23" s="7" t="str">
        <x:v>D02</x:v>
      </x:c>
      <x:c r="B23" s="10" t="n">
        <x:v>7</x:v>
      </x:c>
      <x:c r="C23" s="10" t="str">
        <x:v>官方统计</x:v>
      </x:c>
      <x:c r="D23" s="10" t="n">
        <x:v>2025</x:v>
      </x:c>
      <x:c r="E23" s="7" t="str">
        <x:v>工业和信息化部</x:v>
      </x:c>
      <x:c r="F23" s="7" t="str">
        <x:v>2024年汽车工业经济运行情况</x:v>
      </x:c>
      <x:c r="G23" s="7" t="str">
        <x:v>2024年新能源汽车产量1288.8、销量1286.6万辆，销量占比40.9%。</x:v>
      </x:c>
      <x:c r="H23" s="7" t="str">
        <x:v>新增销量不是当年退役电池量。</x:v>
      </x:c>
      <x:c r="I23" s="7" t="str">
        <x:v>工信部系统官方转载原文检索</x:v>
      </x:c>
      <x:c r="J23" s="7" t="str">
        <x:v>统计期2024年</x:v>
      </x:c>
      <x:c r="K23" s="7" t="str">
        <x:v>1；图3</x:v>
      </x:c>
      <x:c r="L23" s="7" t="str">
        <x:v>https://nmca.miit.gov.cn/xwdt/xydt/art/2025/art_cf7b588d74fa4957ac1e846deb08578b.html</x:v>
      </x:c>
      <x:c r="M23" s="7"/>
      <x:c r="N23" s="7" t="str">
        <x:v>工业和信息化部．2024年汽车工业经济运行情况[EB/OL]．2025[2026-10-19]．https://nmca.miit.gov.cn/xwdt/xydt/art/2025/art_cf7b588d74fa4957ac1e846deb08578b.html</x:v>
      </x:c>
      <x:c r="O23" s="9" t="d">
        <x:v>2026-10-20T00:00:00.000Z</x:v>
      </x:c>
    </x:row>
    <x:row r="24" ht="64" customHeight="1">
      <x:c r="A24" s="7" t="str">
        <x:v>L01</x:v>
      </x:c>
      <x:c r="B24" s="10" t="n">
        <x:v>23</x:v>
      </x:c>
      <x:c r="C24" s="10" t="str">
        <x:v>中文期刊论文</x:v>
      </x:c>
      <x:c r="D24" s="10" t="n">
        <x:v>2023</x:v>
      </x:c>
      <x:c r="E24" s="7" t="str">
        <x:v>危浪，王翠霞</x:v>
      </x:c>
      <x:c r="F24" s="7" t="str">
        <x:v>基于SD演化博弈的新能源车动力电池回收监管策略研究</x:v>
      </x:c>
      <x:c r="G24" s="7" t="str">
        <x:v>用系统动力学与演化博弈讨论回收监管策略。</x:v>
      </x:c>
      <x:c r="H24" s="7" t="str">
        <x:v>模型结论依赖假设及参数；本稿不引用未核实的具体阈值。</x:v>
      </x:c>
      <x:c r="I24" s="7" t="str">
        <x:v>期刊题录与摘要；未得全文</x:v>
      </x:c>
      <x:c r="J24" s="7" t="str">
        <x:v>研究文献；见核验层级</x:v>
      </x:c>
      <x:c r="K24" s="7" t="str">
        <x:v>2；5</x:v>
      </x:c>
      <x:c r="L24" s="7" t="str">
        <x:v>https://sysmath.cjoe.ac.cn/jweb_xtkxysx/CN/10.12341/jssms22385</x:v>
      </x:c>
      <x:c r="M24" s="7" t="str">
        <x:v>10.12341/jssms22385</x:v>
      </x:c>
      <x:c r="N24" s="7" t="str">
        <x:v>危浪，王翠霞．基于SD演化博弈的新能源车动力电池回收监管策略研究[J]．系统科学与数学，2023，43(5)：1314-1330．DOI:10.12341/jssms22385．</x:v>
      </x:c>
      <x:c r="O24" s="9" t="d">
        <x:v>2026-10-20T00:00:00.000Z</x:v>
      </x:c>
    </x:row>
    <x:row r="25" ht="64" customHeight="1">
      <x:c r="A25" s="7" t="str">
        <x:v>L02</x:v>
      </x:c>
      <x:c r="B25" s="10" t="n">
        <x:v>25</x:v>
      </x:c>
      <x:c r="C25" s="10" t="str">
        <x:v>国际期刊论文</x:v>
      </x:c>
      <x:c r="D25" s="10" t="n">
        <x:v>2024</x:v>
      </x:c>
      <x:c r="E25" s="7" t="str">
        <x:v>Huang X, Lei S, Liu F, et al.</x:v>
      </x:c>
      <x:c r="F25" s="7" t="str">
        <x:v>Consumer preference and willingness-to-pay for formal recycling of electric vehicle batteries: A discrete choice experiment in China</x:v>
      </x:c>
      <x:c r="G25" s="7" t="str">
        <x:v>重庆1190份样本的离散选择研究关注价格、回收便利性和可追溯性。</x:v>
      </x:c>
      <x:c r="H25" s="7" t="str">
        <x:v>地区样本和陈述偏好不能直接当全国真实交投行为。</x:v>
      </x:c>
      <x:c r="I25" s="7" t="str">
        <x:v>PubMed正式题录与摘要；未得全文</x:v>
      </x:c>
      <x:c r="J25" s="7" t="str">
        <x:v>研究文献；见核验层级</x:v>
      </x:c>
      <x:c r="K25" s="7" t="str">
        <x:v>2；5</x:v>
      </x:c>
      <x:c r="L25" s="7" t="str">
        <x:v>https://pubmed.ncbi.nlm.nih.gov/39255580/</x:v>
      </x:c>
      <x:c r="M25" s="7" t="str">
        <x:v>10.1016/j.jenvman.2024.122180</x:v>
      </x:c>
      <x:c r="N25" s="7" t="str">
        <x:v>HUANG X, LEI S, LIU F, et al. Consumer preference and willingness-to-pay for formal recycling of electric vehicle batteries: A discrete choice experiment in China[J]. Journal of Environmental Management, 2024, 370:122180. DOI:10.1016/j.jenvman.2024.122180.</x:v>
      </x:c>
      <x:c r="O25" s="9" t="d">
        <x:v>2026-10-20T00:00:00.000Z</x:v>
      </x:c>
    </x:row>
    <x:row r="26" ht="64" customHeight="1">
      <x:c r="A26" s="7" t="str">
        <x:v>L03</x:v>
      </x:c>
      <x:c r="B26" s="10" t="n">
        <x:v>28</x:v>
      </x:c>
      <x:c r="C26" s="10" t="str">
        <x:v>中文期刊论文</x:v>
      </x:c>
      <x:c r="D26" s="10" t="n">
        <x:v>2025</x:v>
      </x:c>
      <x:c r="E26" s="7" t="str">
        <x:v>冯章伟，杜碧升，于志勇，牟善栋</x:v>
      </x:c>
      <x:c r="F26" s="7" t="str">
        <x:v>区块链驱动的新能源汽车动力电池回收与溯源技术投入策略研究</x:v>
      </x:c>
      <x:c r="G26" s="7" t="str">
        <x:v>用供应链博弈讨论溯源技术投入与信任、成本条件的关系。</x:v>
      </x:c>
      <x:c r="H26" s="7" t="str">
        <x:v>不能把模型中信任提高直接等同实际回收率上升；区块链不保证源头真实。</x:v>
      </x:c>
      <x:c r="I26" s="7" t="str">
        <x:v>期刊当期目录及摘要；未得全文</x:v>
      </x:c>
      <x:c r="J26" s="7" t="str">
        <x:v>研究文献；见核验层级</x:v>
      </x:c>
      <x:c r="K26" s="7" t="str">
        <x:v>2；4</x:v>
      </x:c>
      <x:c r="L26" s="7" t="str">
        <x:v>https://www.zgglkx.com/CN/volumn/volumn_265.shtml</x:v>
      </x:c>
      <x:c r="M26" s="7" t="str">
        <x:v>10.16381/j.cnki.issn1003-207x.2023.0319</x:v>
      </x:c>
      <x:c r="N26" s="7" t="str">
        <x:v>冯章伟，杜碧升，于志勇，等．区块链驱动的新能源汽车动力电池回收与溯源技术投入策略研究[J]．中国管理科学，2025(4)：313-324．DOI:10.16381/j.cnki.issn1003-207x.2023.0319．</x:v>
      </x:c>
      <x:c r="O26" s="9" t="d">
        <x:v>2026-10-20T00:00:00.000Z</x:v>
      </x:c>
    </x:row>
    <x:row r="27" ht="64" customHeight="1">
      <x:c r="A27" s="7" t="str">
        <x:v>L04</x:v>
      </x:c>
      <x:c r="B27" s="10" t="n">
        <x:v>24</x:v>
      </x:c>
      <x:c r="C27" s="10" t="str">
        <x:v>国际期刊论文</x:v>
      </x:c>
      <x:c r="D27" s="10" t="n">
        <x:v>2026</x:v>
      </x:c>
      <x:c r="E27" s="7" t="str">
        <x:v>Ge M, Wu C</x:v>
      </x:c>
      <x:c r="F27" s="7" t="str">
        <x:v>Recycling of retired power batteries: A four-party evolutionary game considering consumer behavior preferences and informal recyclers’ participation</x:v>
      </x:c>
      <x:c r="G27" s="7" t="str">
        <x:v>四方博弈将消费者偏好与非正规回收者纳入分析。</x:v>
      </x:c>
      <x:c r="H27" s="7" t="str">
        <x:v>策略稳定条件具有模型依赖性；未直接检验2026新规效果。</x:v>
      </x:c>
      <x:c r="I27" s="7" t="str">
        <x:v>出版商题录与摘要；未得全文</x:v>
      </x:c>
      <x:c r="J27" s="7" t="str">
        <x:v>研究文献；见核验层级</x:v>
      </x:c>
      <x:c r="K27" s="7" t="str">
        <x:v>2；5</x:v>
      </x:c>
      <x:c r="L27" s="7" t="str">
        <x:v>https://www.sciencedirect.com/science/article/pii/S2211467X26001021</x:v>
      </x:c>
      <x:c r="M27" s="7" t="str">
        <x:v>10.1016/j.esr.2026.102136</x:v>
      </x:c>
      <x:c r="N27" s="7" t="str">
        <x:v>GE M, WU C. Recycling of retired power batteries: A four-party evolutionary game considering consumer behavior preferences and informal recyclers’ participation[J]. Energy Strategy Reviews, 2026, 64:102136. DOI:10.1016/j.esr.2026.102136.</x:v>
      </x:c>
      <x:c r="O27" s="9" t="d">
        <x:v>2026-10-20T00:00:00.000Z</x:v>
      </x:c>
    </x:row>
    <x:row r="28" ht="64" customHeight="1">
      <x:c r="A28" s="7" t="str">
        <x:v>L05</x:v>
      </x:c>
      <x:c r="B28" s="10" t="n">
        <x:v>21</x:v>
      </x:c>
      <x:c r="C28" s="10" t="str">
        <x:v>中文期刊论文</x:v>
      </x:c>
      <x:c r="D28" s="10" t="n">
        <x:v>2025</x:v>
      </x:c>
      <x:c r="E28" s="7" t="str">
        <x:v>田西，袁可欣，温湖炜，刘耀彬</x:v>
      </x:c>
      <x:c r="F28" s="7" t="str">
        <x:v>动力电池回收利用试点政策的技术创新效应及其促进策略</x:v>
      </x:c>
      <x:c r="G28" s="7" t="str">
        <x:v>2013—2022年220城面板，以双重差分研究试点政策与回收专利。</x:v>
      </x:c>
      <x:c r="H28" s="7" t="str">
        <x:v>专利衡量创新产出，不代表回收量、真实回收率或污染减排；样本止于2022年。</x:v>
      </x:c>
      <x:c r="I28" s="7" t="str">
        <x:v>学会提供正式全文PDF</x:v>
      </x:c>
      <x:c r="J28" s="7" t="str">
        <x:v>研究文献；见核验层级</x:v>
      </x:c>
      <x:c r="K28" s="7" t="str">
        <x:v>2；5</x:v>
      </x:c>
      <x:c r="L28" s="7" t="str">
        <x:v>https://www.cssd1992.org/files/IN8qPL5BFtBtkSKzi7bo_%E7%94%B0%E8%A5%BF.pdf</x:v>
      </x:c>
      <x:c r="M28" s="7" t="str">
        <x:v>10.12062/cpre.20241004</x:v>
      </x:c>
      <x:c r="N28" s="7" t="str">
        <x:v>田西，袁可欣，温湖炜，等．动力电池回收利用试点政策的技术创新效应及其促进策略[J]．中国人口·资源与环境，2025，35(1)：133-143．DOI:10.12062/cpre.20241004．</x:v>
      </x:c>
      <x:c r="O28" s="9" t="d">
        <x:v>2026-10-20T00:00:00.000Z</x:v>
      </x:c>
    </x:row>
    <x:row r="29" ht="64" customHeight="1">
      <x:c r="A29" s="7" t="str">
        <x:v>L06</x:v>
      </x:c>
      <x:c r="B29" s="10" t="n">
        <x:v>11</x:v>
      </x:c>
      <x:c r="C29" s="10" t="str">
        <x:v>国际综述</x:v>
      </x:c>
      <x:c r="D29" s="10" t="n">
        <x:v>2019</x:v>
      </x:c>
      <x:c r="E29" s="7" t="str">
        <x:v>Harper G, Sommerville R, Kendrick E, et al.</x:v>
      </x:c>
      <x:c r="F29" s="7" t="str">
        <x:v>Recycling lithium-ion batteries from electric vehicles</x:v>
      </x:c>
      <x:c r="G29" s="7" t="str">
        <x:v>评述电动汽车锂电池回收与再利用技术路线和难点。</x:v>
      </x:c>
      <x:c r="H29" s="7" t="str">
        <x:v>技术综述不直接评估中国当前责任制度的执行。</x:v>
      </x:c>
      <x:c r="I29" s="7" t="str">
        <x:v>出版商与PubMed题录及摘要；未得全文</x:v>
      </x:c>
      <x:c r="J29" s="7" t="str">
        <x:v>研究文献；见核验层级</x:v>
      </x:c>
      <x:c r="K29" s="7" t="str">
        <x:v>2</x:v>
      </x:c>
      <x:c r="L29" s="7" t="str">
        <x:v>https://www.nature.com/articles/s41586-019-1682-5</x:v>
      </x:c>
      <x:c r="M29" s="7" t="str">
        <x:v>10.1038/s41586-019-1682-5</x:v>
      </x:c>
      <x:c r="N29" s="7" t="str">
        <x:v>HARPER G, SOMMERVILLE R, KENDRICK E, et al. Recycling lithium-ion batteries from electric vehicles[J]. Nature, 2019, 575:75-86. DOI:10.1038/s41586-019-1682-5.</x:v>
      </x:c>
      <x:c r="O29" s="9" t="d">
        <x:v>2026-10-20T00:00:00.000Z</x:v>
      </x:c>
    </x:row>
    <x:row r="30" ht="64" customHeight="1">
      <x:c r="A30" s="7" t="str">
        <x:v>L07</x:v>
      </x:c>
      <x:c r="B30" s="10" t="n">
        <x:v>12</x:v>
      </x:c>
      <x:c r="C30" s="10" t="str">
        <x:v>国际开放文献</x:v>
      </x:c>
      <x:c r="D30" s="10" t="n">
        <x:v>2025</x:v>
      </x:c>
      <x:c r="E30" s="7" t="str">
        <x:v>Chacana-Olivares J, Peceño B, Grageda M, et al.</x:v>
      </x:c>
      <x:c r="F30" s="7" t="str">
        <x:v>Lithium-ion battery recycling: a perspective on key challenges and opportunities</x:v>
      </x:c>
      <x:c r="G30" s="7" t="str">
        <x:v>讨论设计拆解、经济约束及监管分散问题；原文Fig.1为价值链概念图。</x:v>
      </x:c>
      <x:c r="H30" s="7" t="str">
        <x:v>全球技术示意，非中国2026年法规；原图中的梯次用途、填埋均非本文合规建议。</x:v>
      </x:c>
      <x:c r="I30" s="7" t="str">
        <x:v>出版商全文；原图与许可核验</x:v>
      </x:c>
      <x:c r="J30" s="7" t="str">
        <x:v>原文Fig.1按CC BY-NC-ND 4.0完整转载于报告图5，仅等比例显示</x:v>
      </x:c>
      <x:c r="K30" s="7" t="str">
        <x:v>2.1；图5</x:v>
      </x:c>
      <x:c r="L30" s="7" t="str">
        <x:v>https://www.nature.com/articles/s44296-025-00083-7</x:v>
      </x:c>
      <x:c r="M30" s="7" t="str">
        <x:v>10.1038/s44296-025-00083-7</x:v>
      </x:c>
      <x:c r="N30" s="7" t="str">
        <x:v>CHACANA-OLIVARES J, PECEÑO B, GRAGEDA M, et al. Lithium-ion battery recycling: a perspective on key challenges and opportunities[J]. npj Materials Sustainability, 2025, 3:38. DOI:10.1038/s44296-025-00083-7.</x:v>
      </x:c>
      <x:c r="O30" s="9" t="d">
        <x:v>2026-10-20T00:00:00.000Z</x:v>
      </x:c>
    </x:row>
    <x:row r="31" ht="64" customHeight="1">
      <x:c r="A31" s="7" t="str">
        <x:v>L08</x:v>
      </x:c>
      <x:c r="B31" s="10" t="n">
        <x:v>31</x:v>
      </x:c>
      <x:c r="C31" s="10" t="str">
        <x:v>国际综述储备</x:v>
      </x:c>
      <x:c r="D31" s="10" t="n">
        <x:v>2026</x:v>
      </x:c>
      <x:c r="E31" s="7" t="str">
        <x:v>Zhang Z, Gu J, Li R, et al.</x:v>
      </x:c>
      <x:c r="F31" s="7" t="str">
        <x:v>Bridging digital and green transitions: A literature review of digital product passport systems</x:v>
      </x:c>
      <x:c r="G31" s="7" t="str">
        <x:v>综述186篇文献，讨论数字产品护照系统的技术、架构与跨行业应用。</x:v>
      </x:c>
      <x:c r="H31" s="7" t="str">
        <x:v>跨行业系统综述不等于中国动力电池回收效果评估；不据此推荐单一技术。</x:v>
      </x:c>
      <x:c r="I31" s="7" t="str">
        <x:v>出版社公开摘要/索引；Crossref元数据核验</x:v>
      </x:c>
      <x:c r="J31" s="7" t="str">
        <x:v>已核验题录及公开内容；非全文精读</x:v>
      </x:c>
      <x:c r="K31" s="7" t="str">
        <x:v>2.4；6.2</x:v>
      </x:c>
      <x:c r="L31" s="7" t="str">
        <x:v>https://www.sciencedirect.com/science/article/abs/pii/S1364032125012730</x:v>
      </x:c>
      <x:c r="M31" s="7" t="str">
        <x:v>10.1016/j.rser.2025.116600</x:v>
      </x:c>
      <x:c r="N31" s="7" t="str">
        <x:v>Zhang Z, Gu J, Li R, et al. Bridging digital and green transitions: A literature review of digital product passport systems[J]. Renewable and Sustainable Energy Reviews, 2026, 228: 116600. DOI: 10.1016/j.rser.2025.116600.</x:v>
      </x:c>
      <x:c r="O31" s="9" t="d">
        <x:v>2026-10-20T00:00:00.000Z</x:v>
      </x:c>
    </x:row>
    <x:row r="32" ht="64" customHeight="1">
      <x:c r="A32" s="7" t="str">
        <x:v>L09</x:v>
      </x:c>
      <x:c r="B32" s="10" t="n">
        <x:v>32</x:v>
      </x:c>
      <x:c r="C32" s="10" t="str">
        <x:v>国际综述储备</x:v>
      </x:c>
      <x:c r="D32" s="10" t="n">
        <x:v>2026</x:v>
      </x:c>
      <x:c r="E32" s="7" t="str">
        <x:v>Soavi F, Gregucci A, Liverani A, et al.</x:v>
      </x:c>
      <x:c r="F32" s="7" t="str">
        <x:v>The European Battery Regulation and Digital Battery Passport: Prospects and Challenges</x:v>
      </x:c>
      <x:c r="G32" s="7" t="str">
        <x:v>评述欧盟电池法规与数字护照的制度和实施挑战。</x:v>
      </x:c>
      <x:c r="H32" s="7" t="str">
        <x:v>欧盟制度语境；未作为中国现行义务依据；不据评述推断实际绩效。</x:v>
      </x:c>
      <x:c r="I32" s="7" t="str">
        <x:v>出版社公开摘要/索引；Crossref元数据核验</x:v>
      </x:c>
      <x:c r="J32" s="7" t="str">
        <x:v>已核验题录及公开内容；非全文精读</x:v>
      </x:c>
      <x:c r="K32" s="7" t="str">
        <x:v>2.4；6.2</x:v>
      </x:c>
      <x:c r="L32" s="7" t="str">
        <x:v>https://doi.org/10.3390/batteries12030097</x:v>
      </x:c>
      <x:c r="M32" s="7" t="str">
        <x:v>10.3390/batteries12030097</x:v>
      </x:c>
      <x:c r="N32" s="7" t="str">
        <x:v>Soavi F, Gregucci A, Liverani A, et al. The European Battery Regulation and Digital Battery Passport: Prospects and Challenges[J]. Batteries, 2026, 12(3): 97. DOI: 10.3390/batteries12030097.</x:v>
      </x:c>
      <x:c r="O32" s="9" t="d">
        <x:v>2026-10-20T00:00:00.000Z</x:v>
      </x:c>
    </x:row>
    <x:row r="33" ht="64" customHeight="1">
      <x:c r="A33" s="7" t="str">
        <x:v>I01</x:v>
      </x:c>
      <x:c r="B33" s="10" t="n">
        <x:v>56</x:v>
      </x:c>
      <x:c r="C33" s="10" t="str">
        <x:v>欧盟法规</x:v>
      </x:c>
      <x:c r="D33" s="10" t="n">
        <x:v>2026</x:v>
      </x:c>
      <x:c r="E33" s="7" t="str">
        <x:v>European Parliament and Council</x:v>
      </x:c>
      <x:c r="F33" s="7" t="str">
        <x:v>Regulation (EU) 2023/1542（2026-08-13合并文本）</x:v>
      </x:c>
      <x:c r="G33" s="7" t="str">
        <x:v>第77条电池护照适用日期为2027-02-18，范围有电池类型限制。</x:v>
      </x:c>
      <x:c r="H33" s="7" t="str">
        <x:v>未到适用日期；仅比较护照条款，不据此推断中国已有等同制度。</x:v>
      </x:c>
      <x:c r="I33" s="7" t="str">
        <x:v>EUR-Lex合并文本的索引条文；页面访问有验证限制</x:v>
      </x:c>
      <x:c r="J33" s="7" t="str">
        <x:v>欧盟制度比较；截至检索日电池护照条款尚未到适用日期</x:v>
      </x:c>
      <x:c r="K33" s="7" t="str">
        <x:v>4</x:v>
      </x:c>
      <x:c r="L33" s="7" t="str">
        <x:v>https://eur-lex.europa.eu/eli/reg/2023/1542/ojn</x:v>
      </x:c>
      <x:c r="M33" s="7"/>
      <x:c r="N33" s="7" t="str">
        <x:v>EUROPEAN PARLIAMENT AND COUNCIL. Regulation (EU) 2023/1542: consolidated text 13 August 2026[EB/OL]. Article 77[2026-10-19]. https://eur-lex.europa.eu/eli/reg/2023/1542/ojn.</x:v>
      </x:c>
      <x:c r="O33" s="9" t="d">
        <x:v>2026-10-20T00:00:00.000Z</x:v>
      </x:c>
    </x:row>
    <x:row r="34" ht="64" customHeight="1">
      <x:c r="A34" s="7" t="str">
        <x:v>I02</x:v>
      </x:c>
      <x:c r="B34" s="10" t="n">
        <x:v>57</x:v>
      </x:c>
      <x:c r="C34" s="10" t="str">
        <x:v>官方技术项目</x:v>
      </x:c>
      <x:c r="D34" s="10" t="n">
        <x:v>2025</x:v>
      </x:c>
      <x:c r="E34" s="7" t="str">
        <x:v>National Institute of Standards and Technology</x:v>
      </x:c>
      <x:c r="F34" s="7" t="str">
        <x:v>EV Battery Passport</x:v>
      </x:c>
      <x:c r="G34" s="7" t="str">
        <x:v>研究电池信息互操作、可追溯和数据交换。</x:v>
      </x:c>
      <x:c r="H34" s="7" t="str">
        <x:v>技术项目，不是美国统一强制护照法规。</x:v>
      </x:c>
      <x:c r="I34" s="7" t="str">
        <x:v>NIST官方项目页</x:v>
      </x:c>
      <x:c r="J34" s="7" t="str">
        <x:v>页面更新2025-03-26</x:v>
      </x:c>
      <x:c r="K34" s="7" t="str">
        <x:v>4</x:v>
      </x:c>
      <x:c r="L34" s="7" t="str">
        <x:v>https://www.nist.gov/programs-projects/ev-battery-passport</x:v>
      </x:c>
      <x:c r="M34" s="7"/>
      <x:c r="N34" s="7" t="str">
        <x:v>National Institute of Standards and Technology．EV Battery Passport[EB/OL]．2025[2026-10-19]．https://www.nist.gov/programs-projects/ev-battery-passport</x:v>
      </x:c>
      <x:c r="O34" s="9" t="d">
        <x:v>2026-10-20T00:00:00.000Z</x:v>
      </x:c>
    </x:row>
    <x:row r="35" ht="64" customHeight="1">
      <x:c r="A35" s="7" t="str">
        <x:v>I03</x:v>
      </x:c>
      <x:c r="B35" s="10"/>
      <x:c r="C35" s="10" t="str">
        <x:v>国际组织报告</x:v>
      </x:c>
      <x:c r="D35" s="10" t="n">
        <x:v>2025</x:v>
      </x:c>
      <x:c r="E35" s="7" t="str">
        <x:v>United Nations Economic Commission for Europe</x:v>
      </x:c>
      <x:c r="F35" s="7" t="str">
        <x:v>White paper on digital product passports for critical raw materials for batteries</x:v>
      </x:c>
      <x:c r="G35" s="7" t="str">
        <x:v>提供电池关键原材料数字产品护照讨论。</x:v>
      </x:c>
      <x:c r="H35" s="7" t="str">
        <x:v>国际组织技术建议，不是中国约束性文件。</x:v>
      </x:c>
      <x:c r="I35" s="7" t="str">
        <x:v>官方报告PDF检索；本稿未逐页评注</x:v>
      </x:c>
      <x:c r="J35" s="7" t="str">
        <x:v>2025年9月报告</x:v>
      </x:c>
      <x:c r="K35" s="7" t="str">
        <x:v>资料储备</x:v>
      </x:c>
      <x:c r="L35" s="7" t="str">
        <x:v>https://unece.org/sites/default/files/2025-09/WhitePaper_DPP-CRM4Batteries.pdf</x:v>
      </x:c>
      <x:c r="M35" s="7"/>
      <x:c r="N35" s="7" t="str">
        <x:v>United Nations Economic Commission for Europe．White paper on digital product passports for critical raw materials for batteries[EB/OL]．2025[2026-10-19]．https://unece.org/sites/default/files/2025-09/WhitePaper_DPP-CRM4Batteries.pdf</x:v>
      </x:c>
      <x:c r="O35" s="9" t="d">
        <x:v>2026-10-20T00:00:00.000Z</x:v>
      </x:c>
    </x:row>
    <x:row r="36" ht="64" customHeight="1">
      <x:c r="A36" s="7" t="str">
        <x:v>I04</x:v>
      </x:c>
      <x:c r="B36" s="10"/>
      <x:c r="C36" s="10" t="str">
        <x:v>研究机构报告</x:v>
      </x:c>
      <x:c r="D36" s="10" t="n">
        <x:v>2024</x:v>
      </x:c>
      <x:c r="E36" s="7" t="str">
        <x:v>Centre for European Policy Studies</x:v>
      </x:c>
      <x:c r="F36" s="7" t="str">
        <x:v>Implementing the EU digital battery passport</x:v>
      </x:c>
      <x:c r="G36" s="7" t="str">
        <x:v>讨论电池护照落地的治理与技术条件。</x:v>
      </x:c>
      <x:c r="H36" s="7" t="str">
        <x:v>研究报告不等于欧盟法规；早于2025—2026修法。</x:v>
      </x:c>
      <x:c r="I36" s="7" t="str">
        <x:v>欧盟循环经济平台托管报告PDF检索</x:v>
      </x:c>
      <x:c r="J36" s="7" t="str">
        <x:v>2024年报告</x:v>
      </x:c>
      <x:c r="K36" s="7" t="str">
        <x:v>资料储备</x:v>
      </x:c>
      <x:c r="L36" s="7" t="str">
        <x:v>https://circulareconomy.europa.eu/platform/sites/default/files/2024-03/1qp5rxiZ-CEPS-InDepthAnalysis-2024-05_Implementing-the-EU-digital-battery-passport.pdf</x:v>
      </x:c>
      <x:c r="M36" s="7"/>
      <x:c r="N36" s="7" t="str">
        <x:v>Centre for European Policy Studies．Implementing the EU digital battery passport[EB/OL]．2024[2026-10-19]．https://circulareconomy.europa.eu/platform/sites/default/files/2024-03/1qp5rxiZ-CEPS-InDepthAnalysis-2024-05_Implementing-the-EU-digital-battery-passport.pdf</x:v>
      </x:c>
      <x:c r="O36" s="9" t="d">
        <x:v>2026-10-20T00:00:00.000Z</x:v>
      </x:c>
    </x:row>
    <x:row r="37" ht="64" customHeight="1">
      <x:c r="A37" s="7" t="str">
        <x:v>I05</x:v>
      </x:c>
      <x:c r="B37" s="10"/>
      <x:c r="C37" s="10" t="str">
        <x:v>机构报告储备</x:v>
      </x:c>
      <x:c r="D37" s="10"/>
      <x:c r="E37" s="7" t="str">
        <x:v>Ellen MacArthur Foundation</x:v>
      </x:c>
      <x:c r="F37" s="7" t="str">
        <x:v>Leading the charge: turning risk into reward with a circular economy for EV batteries and critical minerals</x:v>
      </x:c>
      <x:c r="G37" s="7" t="str">
        <x:v>电池及关键矿产循环经济商业视角。</x:v>
      </x:c>
      <x:c r="H37" s="7" t="str">
        <x:v>机构观点和案例不替代中国监管执行数据；年份待封面复核。</x:v>
      </x:c>
      <x:c r="I37" s="7" t="str">
        <x:v>基金会报告PDF检索；未逐页评注</x:v>
      </x:c>
      <x:c r="J37" s="7" t="str">
        <x:v>储备；不引用其数值</x:v>
      </x:c>
      <x:c r="K37" s="7" t="str">
        <x:v>资料储备</x:v>
      </x:c>
      <x:c r="L37" s="7" t="str">
        <x:v>https://assets.ellenmacarthurfoundation.org.cn/PDF/publications/Leading-The-Charge-turning-risk-into-reward-with-a-circular-economy-for-EV-batteries-and-critical-minerals.pdf</x:v>
      </x:c>
      <x:c r="M37" s="7"/>
      <x:c r="N37" s="7" t="str">
        <x:v>Ellen MacArthur Foundation．Leading the charge: turning risk into reward with a circular economy for EV batteries and critical minerals[EB/OL]．出版年待核[2026-10-19]．https://assets.ellenmacarthurfoundation.org.cn/PDF/publications/Leading-The-Charge-turning-risk-into-reward-with-a-circular-economy-for-EV-batteries-and-critical-minerals.pdf</x:v>
      </x:c>
      <x:c r="O37" s="9" t="d">
        <x:v>2026-10-20T00:00:00.000Z</x:v>
      </x:c>
    </x:row>
    <x:row r="38" ht="64" customHeight="1">
      <x:c r="A38" s="7" t="str">
        <x:v>B01</x:v>
      </x:c>
      <x:c r="B38" s="10"/>
      <x:c r="C38" s="10" t="str">
        <x:v>官方历史答复</x:v>
      </x:c>
      <x:c r="D38" s="10" t="n">
        <x:v>2023</x:v>
      </x:c>
      <x:c r="E38" s="7" t="str">
        <x:v>工业和信息化部</x:v>
      </x:c>
      <x:c r="F38" s="7" t="str">
        <x:v>关于政协第十四届全国委员会第一次会议第02876号提案答复的函</x:v>
      </x:c>
      <x:c r="G38" s="7" t="str">
        <x:v>介绍当时责任制度和回收利用标准建设。</x:v>
      </x:c>
      <x:c r="H38" s="7" t="str">
        <x:v>2023年进展不是2026年最新统计；含已调整的历史梯次利用内容。</x:v>
      </x:c>
      <x:c r="I38" s="7" t="str">
        <x:v>官方答复检索</x:v>
      </x:c>
      <x:c r="J38" s="7" t="str">
        <x:v>历史实施背景</x:v>
      </x:c>
      <x:c r="K38" s="7" t="str">
        <x:v>资料储备</x:v>
      </x:c>
      <x:c r="L38" s="7" t="str">
        <x:v>https://www.miit.gov.cn/zwgk/jytafwgk/art/2023/art_b3e8d0373ae94920915c122662bd6029.html</x:v>
      </x:c>
      <x:c r="M38" s="7"/>
      <x:c r="N38" s="7" t="str">
        <x:v>工业和信息化部．关于政协第十四届全国委员会第一次会议第02876号提案答复的函[EB/OL]．2023[2026-10-19]．https://www.miit.gov.cn/zwgk/jytafwgk/art/2023/art_b3e8d0373ae94920915c122662bd6029.html</x:v>
      </x:c>
      <x:c r="O38" s="9" t="d">
        <x:v>2026-10-20T00:00:00.000Z</x:v>
      </x:c>
    </x:row>
    <x:row r="39" ht="64" customHeight="1">
      <x:c r="A39" s="7" t="str">
        <x:v>B02</x:v>
      </x:c>
      <x:c r="B39" s="10"/>
      <x:c r="C39" s="10" t="str">
        <x:v>官方答复</x:v>
      </x:c>
      <x:c r="D39" s="10" t="n">
        <x:v>2024</x:v>
      </x:c>
      <x:c r="E39" s="7" t="str">
        <x:v>生态环境部</x:v>
      </x:c>
      <x:c r="F39" s="7" t="str">
        <x:v>关于政协十四届全国委员会第二次会议第03836号提案答复的函</x:v>
      </x:c>
      <x:c r="G39" s="7" t="str">
        <x:v>介绍锂电池环境管理、污染标准和监测要求。</x:v>
      </x:c>
      <x:c r="H39" s="7" t="str">
        <x:v>答复是当期政策说明，不是企业环境绩效样本。</x:v>
      </x:c>
      <x:c r="I39" s="7" t="str">
        <x:v>官方答复检索</x:v>
      </x:c>
      <x:c r="J39" s="7" t="str">
        <x:v>2024-08-01答复；12月公开</x:v>
      </x:c>
      <x:c r="K39" s="7" t="str">
        <x:v>资料储备</x:v>
      </x:c>
      <x:c r="L39" s="7" t="str">
        <x:v>https://www.mee.gov.cn/xxgk2018/xxgk/xxgk13/202412/t20241204_1097986.html</x:v>
      </x:c>
      <x:c r="M39" s="7"/>
      <x:c r="N39" s="7" t="str">
        <x:v>生态环境部．关于政协十四届全国委员会第二次会议第03836号提案答复的函[EB/OL]．2024[2026-10-19]．https://www.mee.gov.cn/xxgk2018/xxgk/xxgk13/202412/t20241204_1097986.html</x:v>
      </x:c>
      <x:c r="O39" s="9" t="d">
        <x:v>2026-10-20T00:00:00.000Z</x:v>
      </x:c>
    </x:row>
    <x:row r="40" ht="64" customHeight="1">
      <x:c r="A40" s="7" t="str">
        <x:v>L10</x:v>
      </x:c>
      <x:c r="B40" s="10" t="n">
        <x:v>19</x:v>
      </x:c>
      <x:c r="C40" s="10" t="str">
        <x:v>研究文献</x:v>
      </x:c>
      <x:c r="D40" s="10" t="n">
        <x:v>2024</x:v>
      </x:c>
      <x:c r="E40" s="7" t="str">
        <x:v>高文芳，王嘉庆，王忠强，等</x:v>
      </x:c>
      <x:c r="F40" s="7" t="str">
        <x:v>我国废旧动力电池回收利用国家及地方政策现状分析</x:v>
      </x:c>
      <x:c r="G40" s="7" t="str">
        <x:v>国家及地方政策的年份、区域和关注点比较；提出政策完善原则。</x:v>
      </x:c>
      <x:c r="H40" s="7" t="str">
        <x:v>政策分布与重点分析不直接测量企业履行；研究早于2026年调整。</x:v>
      </x:c>
      <x:c r="I40" s="7" t="str">
        <x:v>出版社题录、摘要及公开图表</x:v>
      </x:c>
      <x:c r="J40" s="7" t="str">
        <x:v>研究文献；按核验层级使用</x:v>
      </x:c>
      <x:c r="K40" s="7" t="str">
        <x:v>2；4；6</x:v>
      </x:c>
      <x:c r="L40" s="7" t="str">
        <x:v>https://hgjz.cip.com.cn/CN/Y2024/V43/I10/5820</x:v>
      </x:c>
      <x:c r="M40" s="7" t="str">
        <x:v>10.16085/j.issn.1000-6613.2024-0254</x:v>
      </x:c>
      <x:c r="N40" s="7" t="str">
        <x:v>高文芳，王嘉庆，王忠强，等．我国废旧动力电池回收利用国家及地方政策现状分析[J]．化工进展，2024，43(10)：5820–5836．DOI: 10.16085/j.issn.1000-6613.2024-0254．</x:v>
      </x:c>
      <x:c r="O40" s="9" t="d">
        <x:v>2026-10-20T00:00:00.000Z</x:v>
      </x:c>
    </x:row>
    <x:row r="41" ht="64" customHeight="1">
      <x:c r="A41" s="7" t="str">
        <x:v>L11</x:v>
      </x:c>
      <x:c r="B41" s="10" t="n">
        <x:v>20</x:v>
      </x:c>
      <x:c r="C41" s="10" t="str">
        <x:v>研究文献</x:v>
      </x:c>
      <x:c r="D41" s="10" t="n">
        <x:v>2023</x:v>
      </x:c>
      <x:c r="E41" s="7" t="str">
        <x:v>Liu F, Tang J, Rustam A, et al.</x:v>
      </x:c>
      <x:c r="F41" s="7" t="str">
        <x:v>Evaluation of the central and local power batteries recycling policies in China: A PMC-Index model approach</x:v>
      </x:c>
      <x:c r="G41" s="7" t="str">
        <x:v>文本挖掘与PMC指数评价2016—2022年13项中央、25项地方政策，关注中央地方一致性。</x:v>
      </x:c>
      <x:c r="H41" s="7" t="str">
        <x:v>文本评价受指标编码与赋权影响，不能直接说明回收实物、溯源数据或因果效果。</x:v>
      </x:c>
      <x:c r="I41" s="7" t="str">
        <x:v>出版社公开摘要/索引；Crossref元数据</x:v>
      </x:c>
      <x:c r="J41" s="7" t="str">
        <x:v>研究文献；按核验层级使用</x:v>
      </x:c>
      <x:c r="K41" s="7" t="str">
        <x:v>2；4；6</x:v>
      </x:c>
      <x:c r="L41" s="7" t="str">
        <x:v>https://www.sciencedirect.com/science/article/pii/S0959652623032316</x:v>
      </x:c>
      <x:c r="M41" s="7" t="str">
        <x:v>10.1016/j.jclepro.2023.139073</x:v>
      </x:c>
      <x:c r="N41" s="7" t="str">
        <x:v>Liu F, Tang J, Rustam A, et al.．Evaluation of the central and local power batteries recycling policies in China: A PMC-Index model approach[J]．Journal of Cleaner Production, 2023, 427: 139073．DOI: 10.1016/j.jclepro.2023.139073．</x:v>
      </x:c>
      <x:c r="O41" s="9" t="d">
        <x:v>2026-10-20T00:00:00.000Z</x:v>
      </x:c>
    </x:row>
    <x:row r="42" ht="64" customHeight="1">
      <x:c r="A42" s="7" t="str">
        <x:v>L12</x:v>
      </x:c>
      <x:c r="B42" s="10" t="n">
        <x:v>26</x:v>
      </x:c>
      <x:c r="C42" s="10" t="str">
        <x:v>研究文献</x:v>
      </x:c>
      <x:c r="D42" s="10" t="n">
        <x:v>2026</x:v>
      </x:c>
      <x:c r="E42" s="7" t="str">
        <x:v>李芯怡，车阿大，洪兆富，等</x:v>
      </x:c>
      <x:c r="F42" s="7" t="str">
        <x:v>考虑回收规制的废旧动力电池回收决策与合作机制设计研究</x:v>
      </x:c>
      <x:c r="G42" s="7" t="str">
        <x:v>动态博弈分析强制回收率、单位补贴及成本分担契约的条件性影响。</x:v>
      </x:c>
      <x:c r="H42" s="7" t="str">
        <x:v>部分收益机制含梯次利用假设；须结合2026年7月政策重新解释，模型条件不当作实际阈值。</x:v>
      </x:c>
      <x:c r="I42" s="7" t="str">
        <x:v>出版社公开摘要、题录及录用日期</x:v>
      </x:c>
      <x:c r="J42" s="7" t="str">
        <x:v>研究文献；按核验层级使用</x:v>
      </x:c>
      <x:c r="K42" s="7" t="str">
        <x:v>2；4；6</x:v>
      </x:c>
      <x:c r="L42" s="7" t="str">
        <x:v>https://www.zgglkx.com/CN/10.16381/j.cnki.issn1003-207x.2025.0647</x:v>
      </x:c>
      <x:c r="M42" s="7" t="str">
        <x:v>10.16381/j.cnki.issn1003-207x.2025.0647</x:v>
      </x:c>
      <x:c r="N42" s="7" t="str">
        <x:v>李芯怡，车阿大，洪兆富，等．考虑回收规制的废旧动力电池回收决策与合作机制设计研究[J/OL]．中国管理科学，2026（在线论文）．DOI: 10.16381/j.cnki.issn1003-207x.2025.0647．</x:v>
      </x:c>
      <x:c r="O42" s="9" t="d">
        <x:v>2026-10-20T00:00:00.000Z</x:v>
      </x:c>
    </x:row>
    <x:row r="43" ht="64" customHeight="1">
      <x:c r="A43" s="7" t="str">
        <x:v>L13</x:v>
      </x:c>
      <x:c r="B43" s="10" t="n">
        <x:v>29</x:v>
      </x:c>
      <x:c r="C43" s="10" t="str">
        <x:v>研究文献</x:v>
      </x:c>
      <x:c r="D43" s="10" t="n">
        <x:v>2025</x:v>
      </x:c>
      <x:c r="E43" s="7" t="str">
        <x:v>Losa R, Torjesen S</x:v>
      </x:c>
      <x:c r="F43" s="7" t="str">
        <x:v>The quest for more circular battery value chains: Implementing the EU digital battery passport and remaining challenges</x:v>
      </x:c>
      <x:c r="G43" s="7" t="str">
        <x:v>基于35名产业相关者访谈及文献政策材料，指出数字护照实施及循环利用信息可得性问题。</x:v>
      </x:c>
      <x:c r="H43" s="7" t="str">
        <x:v>欧洲情境中的定性证据；不能替代中国企业运行数据或量化政策效果。</x:v>
      </x:c>
      <x:c r="I43" s="7" t="str">
        <x:v>出版社公开摘要；作者机构记录；Crossref元数据</x:v>
      </x:c>
      <x:c r="J43" s="7" t="str">
        <x:v>研究文献；按核验层级使用</x:v>
      </x:c>
      <x:c r="K43" s="7" t="str">
        <x:v>2；4；6</x:v>
      </x:c>
      <x:c r="L43" s="7" t="str">
        <x:v>https://www.sciencedirect.com/science/article/pii/S2666791625000272</x:v>
      </x:c>
      <x:c r="M43" s="7" t="str">
        <x:v>10.1016/j.clpl.2025.100118</x:v>
      </x:c>
      <x:c r="N43" s="7" t="str">
        <x:v>Losa R, Torjesen S．The quest for more circular battery value chains: Implementing the EU digital battery passport and remaining challenges[J]．Cleaner Production Letters, 2025, 9: 100118．DOI: 10.1016/j.clpl.2025.100118．</x:v>
      </x:c>
      <x:c r="O43" s="9" t="d">
        <x:v>2026-10-20T00:00:00.000Z</x:v>
      </x:c>
    </x:row>
    <x:row r="44" ht="64" customHeight="1">
      <x:c r="A44" s="7" t="str">
        <x:v>L14</x:v>
      </x:c>
      <x:c r="B44" s="10" t="n">
        <x:v>30</x:v>
      </x:c>
      <x:c r="C44" s="10" t="str">
        <x:v>研究文献</x:v>
      </x:c>
      <x:c r="D44" s="10" t="n">
        <x:v>2025</x:v>
      </x:c>
      <x:c r="E44" s="7" t="str">
        <x:v>Popowicz M, Pohlmann A, Schöggl J P, et al.</x:v>
      </x:c>
      <x:c r="F44" s="7" t="str">
        <x:v>Digital Product Passports as Information Providers for Consumers—The Case of Digital Battery Passports</x:v>
      </x:c>
      <x:c r="G44" s="7" t="str">
        <x:v>从消费者信息需求与使用视角研究数字电池护照；提示信息呈现需适配使用者。</x:v>
      </x:c>
      <x:c r="H44" s="7" t="str">
        <x:v>技术兴趣较强的论坛自愿参与者限制样本代表性；消费端信息需求不同于监管核查需求。</x:v>
      </x:c>
      <x:c r="I44" s="7" t="str">
        <x:v>出版社公开正文片段及摘要；Crossref元数据</x:v>
      </x:c>
      <x:c r="J44" s="7" t="str">
        <x:v>研究文献；按核验层级使用</x:v>
      </x:c>
      <x:c r="K44" s="7" t="str">
        <x:v>2；4；6</x:v>
      </x:c>
      <x:c r="L44" s="7" t="str">
        <x:v>https://onlinelibrary.wiley.com/doi/full/10.1002/bse.4346</x:v>
      </x:c>
      <x:c r="M44" s="7" t="str">
        <x:v>10.1002/bse.4346</x:v>
      </x:c>
      <x:c r="N44" s="7" t="str">
        <x:v>Popowicz M, Pohlmann A, Schöggl J P, et al.．Digital Product Passports as Information Providers for Consumers—The Case of Digital Battery Passports[J]．Business Strategy and the Environment, 2025, 34(6): 7700–7722．DOI: 10.1002/bse.4346．</x:v>
      </x:c>
      <x:c r="O44" s="9" t="d">
        <x:v>2026-10-20T00:00:00.000Z</x:v>
      </x:c>
    </x:row>
    <x:row r="45" ht="64" customHeight="1">
      <x:c r="A45" s="7" t="str">
        <x:v>M01</x:v>
      </x:c>
      <x:c r="B45" s="10" t="n">
        <x:v>34</x:v>
      </x:c>
      <x:c r="C45" s="10" t="str">
        <x:v>方法与官方资料</x:v>
      </x:c>
      <x:c r="D45" s="10" t="n">
        <x:v>2023</x:v>
      </x:c>
      <x:c r="E45" s="7" t="str">
        <x:v>National Institute of Standards and Technology</x:v>
      </x:c>
      <x:c r="F45" s="7" t="str">
        <x:v>EMPIRICAL CDF PLOT</x:v>
      </x:c>
      <x:c r="G45" s="7" t="str">
        <x:v>给出经验累计分布函数及阶梯图的构造方法。</x:v>
      </x:c>
      <x:c r="H45" s="7" t="str">
        <x:v>方法说明并不使政策规则集合成为企业运行的随机样本；本文只作固定记录集描述，不绘制抽样置信区间。</x:v>
      </x:c>
      <x:c r="I45" s="7" t="str">
        <x:v>官方全文</x:v>
      </x:c>
      <x:c r="J45" s="7" t="str">
        <x:v>方法依据；不作我国现行义务</x:v>
      </x:c>
      <x:c r="K45" s="7" t="str">
        <x:v>2.6；4.2.1—4.2.2</x:v>
      </x:c>
      <x:c r="L45" s="7" t="str">
        <x:v>https://www.itl.nist.gov/div898/software/dataplot/refman1/auxillar/ecdfplot.htm</x:v>
      </x:c>
      <x:c r="M45" s="7"/>
      <x:c r="N45" s="7" t="str">
        <x:v>National Institute of Standards and Technology. EMPIRICAL CDF PLOT[EB/OL]. 更新于2023-05-18[2026-10-19]. https://www.itl.nist.gov/div898/software/dataplot/refman1/auxillar/ecdfplot.htm</x:v>
      </x:c>
      <x:c r="O45" s="9" t="d">
        <x:v>2026-10-19T00:00:00.000Z</x:v>
      </x:c>
    </x:row>
    <x:row r="46" ht="64" customHeight="1">
      <x:c r="A46" s="7" t="str">
        <x:v>M02</x:v>
      </x:c>
      <x:c r="B46" s="10" t="n">
        <x:v>35</x:v>
      </x:c>
      <x:c r="C46" s="10" t="str">
        <x:v>方法与官方资料</x:v>
      </x:c>
      <x:c r="D46" s="10" t="n">
        <x:v>2020</x:v>
      </x:c>
      <x:c r="E46" s="7" t="str">
        <x:v>European Commission, Joint Research Centre, CC-COIN</x:v>
      </x:c>
      <x:c r="F46" s="7" t="str">
        <x:v>Step 8: Sensitivity analysis</x:v>
      </x:c>
      <x:c r="G46" s="7" t="str">
        <x:v>说明敏感性分析用于识别模型假设、指标选择、权重及汇总方式对结果的影响，强调情景透明度。</x:v>
      </x:c>
      <x:c r="H46" s="7" t="str">
        <x:v>官方页面以综合指标为主要情境；本文借鉴假设审查原则，并自行推导报送时滞模型，不宣称采用正式政策评分或Sobol分解。</x:v>
      </x:c>
      <x:c r="I46" s="7" t="str">
        <x:v>官方全文</x:v>
      </x:c>
      <x:c r="J46" s="7" t="str">
        <x:v>方法依据；不作我国现行义务</x:v>
      </x:c>
      <x:c r="K46" s="7" t="str">
        <x:v>2.6；4.2.1—4.2.2</x:v>
      </x:c>
      <x:c r="L46" s="7" t="str">
        <x:v>https://knowledge-for-policy.ec.europa.eu/composite-indicators/toolkit_en/navigation-page/10-step-guide_en/step-8-sensitivity-analysis_en</x:v>
      </x:c>
      <x:c r="M46" s="7"/>
      <x:c r="N46" s="7" t="str">
        <x:v>European Commission, Joint Research Centre. Step 8: Sensitivity analysis[EB/OL]. 更新于2020-12-01[2026-10-19]. https://knowledge-for-policy.ec.europa.eu/composite-indicators/toolkit_en/navigation-page/10-step-guide_en/step-8-sensitivity-analysis_en</x:v>
      </x:c>
      <x:c r="O46" s="9" t="d">
        <x:v>2026-10-19T00:00:00.000Z</x:v>
      </x:c>
    </x:row>
    <x:row r="47" ht="64" customHeight="1">
      <x:c r="A47" s="7" t="str">
        <x:v>P17</x:v>
      </x:c>
      <x:c r="B47" s="10" t="n">
        <x:v>46</x:v>
      </x:c>
      <x:c r="C47" s="10" t="str">
        <x:v>国家产业规划</x:v>
      </x:c>
      <x:c r="D47" s="10" t="n">
        <x:v>2026</x:v>
      </x:c>
      <x:c r="E47" s="7" t="str">
        <x:v>工业和信息化部等九部门</x:v>
      </x:c>
      <x:c r="F47" s="7" t="str">
        <x:v>智能网联新能源汽车产业发展“十五五”规划（工信部联规函〔2026〕305号）</x:v>
      </x:c>
      <x:c r="G47" s="7" t="str">
        <x:v>将关键矿产循环利用、数字身份证、碳足迹管理和高价值专利组合等纳入产业任务；正文第2、3、5项及专栏2。</x:v>
      </x:c>
      <x:c r="H47" s="7" t="str">
        <x:v>规划任务不等于全部技术细则已发布或任务已完成。</x:v>
      </x:c>
      <x:c r="I47" s="7" t="str">
        <x:v>官方全文及日期核验</x:v>
      </x:c>
      <x:c r="J47" s="7" t="str">
        <x:v>2026-09-09成文；09-10公开；正式产业规划</x:v>
      </x:c>
      <x:c r="K47" s="7" t="str">
        <x:v>3.2；4.3；5.6</x:v>
      </x:c>
      <x:c r="L47" s="7" t="str">
        <x:v>https://wap.miit.gov.cn/jgsj/zbys/wjfb/art/2026/art_6136a59a8ff04922b7c73ddbc575434e.html</x:v>
      </x:c>
      <x:c r="M47" s="7"/>
      <x:c r="N47" s="7" t="str">
        <x:v>工业和信息化部等九部门．智能网联新能源汽车产业发展“十五五”规划（工信部联规函〔2026〕305号）[EB/OL]．(2026-09-09)[2026-10-20]．https://wap.miit.gov.cn/jgsj/zbys/wjfb/art/2026/art_6136a59a8ff04922b7c73ddbc575434e.html</x:v>
      </x:c>
      <x:c r="O47" s="9" t="d">
        <x:v>2026-10-20T00:00:00.000Z</x:v>
      </x:c>
    </x:row>
    <x:row r="48" ht="64" customHeight="1">
      <x:c r="A48" s="7" t="str">
        <x:v>P18</x:v>
      </x:c>
      <x:c r="B48" s="10" t="n">
        <x:v>47</x:v>
      </x:c>
      <x:c r="C48" s="10" t="str">
        <x:v>标准体系征求意见稿</x:v>
      </x:c>
      <x:c r="D48" s="10" t="n">
        <x:v>2026</x:v>
      </x:c>
      <x:c r="E48" s="7" t="str">
        <x:v>工业和信息化部科技司</x:v>
      </x:c>
      <x:c r="F48" s="7" t="str">
        <x:v>动力电池回收利用产业标准体系建设指南（2026版）（征求意见稿）及公示</x:v>
      </x:c>
      <x:c r="G48" s="7" t="str">
        <x:v>提出基础通用、收集分类、物理处理、化学处理、综合利用产品、绿色低碳六部分；含标识溯源与核算核查。</x:v>
      </x:c>
      <x:c r="H48" s="7" t="str">
        <x:v>仅为征求意见稿；公示正文期限至10-15，栏目元数据列10-14，按正文记录并保留差异；本次未核实正式稿。</x:v>
      </x:c>
      <x:c r="I48" s="7" t="str">
        <x:v>官方全文及日期核验</x:v>
      </x:c>
      <x:c r="J48" s="7" t="str">
        <x:v>征求意见时段已过；截至10-20按已核验的征求意见稿使用</x:v>
      </x:c>
      <x:c r="K48" s="7" t="str">
        <x:v>3.2；4.3；5.6</x:v>
      </x:c>
      <x:c r="L48" s="7" t="str">
        <x:v>https://www.miit.gov.cn/jgsj/kjs/jscx/bzgf/art/2026/art_4c8055c61f234cff8c100574c1ab709b.html</x:v>
      </x:c>
      <x:c r="M48" s="7"/>
      <x:c r="N48" s="7" t="str">
        <x:v>工业和信息化部科技司．动力电池回收利用产业标准体系建设指南（2026版）（征求意见稿）及公示[EB/OL]．(2026-09-15)[2026-10-20]．https://www.miit.gov.cn/jgsj/kjs/jscx/bzgf/art/2026/art_4c8055c61f234cff8c100574c1ab709b.html</x:v>
      </x:c>
      <x:c r="O48" s="9" t="d">
        <x:v>2026-10-20T00:00:00.000Z</x:v>
      </x:c>
    </x:row>
    <x:row r="49" ht="64" customHeight="1">
      <x:c r="A49" s="7" t="str">
        <x:v>P19</x:v>
      </x:c>
      <x:c r="B49" s="10" t="n">
        <x:v>52</x:v>
      </x:c>
      <x:c r="C49" s="10" t="str">
        <x:v>地方配套措施</x:v>
      </x:c>
      <x:c r="D49" s="10" t="n">
        <x:v>2026</x:v>
      </x:c>
      <x:c r="E49" s="7" t="str">
        <x:v>北京市发展和改革委员会等三部门</x:v>
      </x:c>
      <x:c r="F49" s="7" t="str">
        <x:v>北京市关于鼓励废动力电池回收利用企业规范健康发展的若干措施（京发改〔2026〕1572号）</x:v>
      </x:c>
      <x:c r="G49" s="7" t="str">
        <x:v>第3项中试，第7项网点，第11项再生材料认证应用，第14项数据共享，第17项碳足迹方法研究等。</x:v>
      </x:c>
      <x:c r="H49" s="7" t="str">
        <x:v>属北京地方措施；不将条件性支持泛化为全国统一补助；解读写09-20，原文件落款及元数据09-18，本稿按原文。</x:v>
      </x:c>
      <x:c r="I49" s="7" t="str">
        <x:v>官方全文及日期核验</x:v>
      </x:c>
      <x:c r="J49" s="7" t="str">
        <x:v>原文09-18成文/实施；09-22公开；官网列现行有效</x:v>
      </x:c>
      <x:c r="K49" s="7" t="str">
        <x:v>3.3；4.3；5.6</x:v>
      </x:c>
      <x:c r="L49" s="7" t="str">
        <x:v>https://fgw.beijing.gov.cn/fgwzwgk/2024zcwj/bwqtwj/202609/t20260922_4875565.htm</x:v>
      </x:c>
      <x:c r="M49" s="7"/>
      <x:c r="N49" s="7" t="str">
        <x:v>北京市发展和改革委员会等三部门．北京市关于鼓励废动力电池回收利用企业规范健康发展的若干措施（京发改〔2026〕1572号）[EB/OL]．(2026-09-18)[2026-10-20]．https://fgw.beijing.gov.cn/fgwzwgk/2024zcwj/bwqtwj/202609/t20260922_4875565.htm</x:v>
      </x:c>
      <x:c r="O49" s="9" t="d">
        <x:v>2026-10-20T00:00:00.000Z</x:v>
      </x:c>
    </x:row>
    <x:row r="50" ht="64" customHeight="1">
      <x:c r="A50" s="7" t="str">
        <x:v>P20</x:v>
      </x:c>
      <x:c r="B50" s="10" t="n">
        <x:v>51</x:v>
      </x:c>
      <x:c r="C50" s="10" t="str">
        <x:v>地方常态监管通知</x:v>
      </x:c>
      <x:c r="D50" s="10" t="n">
        <x:v>2026</x:v>
      </x:c>
      <x:c r="E50" s="7" t="str">
        <x:v>湖南省工业和信息化厅</x:v>
      </x:c>
      <x:c r="F50" s="7" t="str">
        <x:v>关于做好新能源汽车废旧动力电池回收和综合利用常态化监管工作的通知</x:v>
      </x:c>
      <x:c r="G50" s="7" t="str">
        <x:v>清单台账、溯源报送、部门移送、定期检查及上年度工作情况报送等常态化安排。</x:v>
      </x:c>
      <x:c r="H50" s="7" t="str">
        <x:v>属于工作部署，不是整改完成率或执法效果统计。</x:v>
      </x:c>
      <x:c r="I50" s="7" t="str">
        <x:v>官方全文及日期核验</x:v>
      </x:c>
      <x:c r="J50" s="7" t="str">
        <x:v>07-28落款；07-30公开；地方工作要求</x:v>
      </x:c>
      <x:c r="K50" s="7" t="str">
        <x:v>3.3；5.6</x:v>
      </x:c>
      <x:c r="L50" s="7" t="str">
        <x:v>https://gxt.hunan.gov.cn/gxt/xxgk_71033/tzgg/202607/t20260730_34036435.html</x:v>
      </x:c>
      <x:c r="M50" s="7"/>
      <x:c r="N50" s="7" t="str">
        <x:v>湖南省工业和信息化厅．关于做好新能源汽车废旧动力电池回收和综合利用常态化监管工作的通知[EB/OL]．(2026-07-28)[2026-10-20]．https://gxt.hunan.gov.cn/gxt/xxgk_71033/tzgg/202607/t20260730_34036435.html</x:v>
      </x:c>
      <x:c r="O50" s="9" t="d">
        <x:v>2026-10-20T00:00:00.000Z</x:v>
      </x:c>
    </x:row>
    <x:row r="51" ht="64" customHeight="1">
      <x:c r="A51" s="7" t="str">
        <x:v>P21</x:v>
      </x:c>
      <x:c r="B51" s="10" t="n">
        <x:v>44</x:v>
      </x:c>
      <x:c r="C51" s="10" t="str">
        <x:v>国家法律</x:v>
      </x:c>
      <x:c r="D51" s="10" t="n">
        <x:v>2026</x:v>
      </x:c>
      <x:c r="E51" s="7" t="str">
        <x:v>全国人民代表大会</x:v>
      </x:c>
      <x:c r="F51" s="7" t="str">
        <x:v>中华人民共和国生态环境法典</x:v>
      </x:c>
      <x:c r="G51" s="7" t="str">
        <x:v>第1242条规定2026-08-15施行，并废止原环境保护法、环评法、固废污染环境防治法等十部法律。</x:v>
      </x:c>
      <x:c r="H51" s="7" t="str">
        <x:v>本次用于更新法源时间边界，不据此推断全部下位规则自动失效或追溯适用。</x:v>
      </x:c>
      <x:c r="I51" s="7" t="str">
        <x:v>官方全文及日期核验</x:v>
      </x:c>
      <x:c r="J51" s="7" t="str">
        <x:v>03-12通过公布；08-15施行；司法部平台全文</x:v>
      </x:c>
      <x:c r="K51" s="7" t="str">
        <x:v>3.2；4.1.4</x:v>
      </x:c>
      <x:c r="L51" s="7" t="str">
        <x:v>https://legalinfo.moj.gov.cn/pub/sfbzhfx/zt/2026zt0106/xxxcsthjfd20260817/sthjfd20260817/202608/t20260818_538611.html</x:v>
      </x:c>
      <x:c r="M51" s="7"/>
      <x:c r="N51" s="7" t="str">
        <x:v>全国人民代表大会．中华人民共和国生态环境法典[EB/OL]．(2026-03-12)[2026-10-20]．https://legalinfo.moj.gov.cn/pub/sfbzhfx/zt/2026zt0106/xxxcsthjfd20260817/sthjfd20260817/202608/t20260818_538611.html</x:v>
      </x:c>
      <x:c r="O51" s="9" t="d">
        <x:v>2026-10-20T00:00:00.000Z</x:v>
      </x:c>
    </x:row>
    <x:row r="52" ht="64" customHeight="1">
      <x:c r="A52" s="7" t="str">
        <x:v>P22</x:v>
      </x:c>
      <x:c r="B52" s="10" t="n">
        <x:v>48</x:v>
      </x:c>
      <x:c r="C52" s="10" t="str">
        <x:v>国家专项整治方案</x:v>
      </x:c>
      <x:c r="D52" s="10" t="n">
        <x:v>2026</x:v>
      </x:c>
      <x:c r="E52" s="7" t="str">
        <x:v>商务部等七部门办公厅</x:v>
      </x:c>
      <x:c r="F52" s="7" t="str">
        <x:v>关于开展报废机动车非法回收拆解专项整治行动的通知（商办消费函〔2026〕346号）</x:v>
      </x:c>
      <x:c r="G52" s="7" t="str">
        <x:v>整治任务包含动力电池违规交售、拒报及虚假溯源；6—10月分阶段，10月为巩固提升，11月底前总结。</x:v>
      </x:c>
      <x:c r="H52" s="7" t="str">
        <x:v>与4—6月动力电池专项行动是不同部署；时点10-20尚不能把总结任务当作已发布成效。</x:v>
      </x:c>
      <x:c r="I52" s="7" t="str">
        <x:v>官方全文及日期核验</x:v>
      </x:c>
      <x:c r="J52" s="7" t="str">
        <x:v>06-18成文；06-24公开；10月处巩固提升阶段</x:v>
      </x:c>
      <x:c r="K52" s="7" t="str">
        <x:v>3.3；4.1.4；5.6</x:v>
      </x:c>
      <x:c r="L52" s="7" t="str">
        <x:v>https://www.mofcom.gov.cn/zwgk/zcfb/art/2026/art_58f3c70ea4bd4ca3a450ba2ca4049efa.html</x:v>
      </x:c>
      <x:c r="M52" s="7"/>
      <x:c r="N52" s="7" t="str">
        <x:v>商务部等七部门办公厅．关于开展报废机动车非法回收拆解专项整治行动的通知（商办消费函〔2026〕346号）[EB/OL]．(2026-06-18)[2026-10-20]．https://www.mofcom.gov.cn/zwgk/zcfb/art/2026/art_58f3c70ea4bd4ca3a450ba2ca4049efa.html</x:v>
      </x:c>
      <x:c r="O52" s="9" t="d">
        <x:v>2026-10-20T00:00:00.000Z</x:v>
      </x:c>
    </x:row>
    <x:row r="53" ht="64" customHeight="1">
      <x:c r="A53" s="7" t="str">
        <x:v>P23</x:v>
      </x:c>
      <x:c r="B53" s="10" t="n">
        <x:v>49</x:v>
      </x:c>
      <x:c r="C53" s="10" t="str">
        <x:v>地方执行公告</x:v>
      </x:c>
      <x:c r="D53" s="10" t="n">
        <x:v>2026</x:v>
      </x:c>
      <x:c r="E53" s="7" t="str">
        <x:v>全南县商务局</x:v>
      </x:c>
      <x:c r="F53" s="7" t="str">
        <x:v>关于公开征集报废机动车非法回收拆解违法违规问题线索的公告</x:v>
      </x:c>
      <x:c r="G53" s="7" t="str">
        <x:v>将新能源汽车动力电池违规外流处置、零部件台账缺失等纳入线索范围，征集至10-31。</x:v>
      </x:c>
      <x:c r="H53" s="7" t="str">
        <x:v>用于说明10月仍有执行安排，公告不是核查属实结果或违法发生率。</x:v>
      </x:c>
      <x:c r="I53" s="7" t="str">
        <x:v>官方全文及日期核验</x:v>
      </x:c>
      <x:c r="J53" s="7" t="str">
        <x:v>10-10发布；征集至10-31；10-20仍在公告期</x:v>
      </x:c>
      <x:c r="K53" s="7" t="str">
        <x:v>3.3；4.1.4</x:v>
      </x:c>
      <x:c r="L53" s="7" t="str">
        <x:v>https://www.quannan.gov.cn/qnxrmzfwyyh/c104951/202610/8d845e17284d475399907db731ac0ef0.shtml</x:v>
      </x:c>
      <x:c r="M53" s="7"/>
      <x:c r="N53" s="7" t="str">
        <x:v>全南县商务局．关于公开征集报废机动车非法回收拆解违法违规问题线索的公告[EB/OL]．(2026-10-10)[2026-10-20]．https://www.quannan.gov.cn/qnxrmzfwyyh/c104951/202610/8d845e17284d475399907db731ac0ef0.shtml</x:v>
      </x:c>
      <x:c r="O53" s="9" t="d">
        <x:v>2026-10-20T00:00:00.000Z</x:v>
      </x:c>
    </x:row>
    <x:row r="54" ht="64" customHeight="1">
      <x:c r="A54" s="7" t="str">
        <x:v>P24</x:v>
      </x:c>
      <x:c r="B54" s="10" t="n">
        <x:v>53</x:v>
      </x:c>
      <x:c r="C54" s="10" t="str">
        <x:v>地方相关领域规则</x:v>
      </x:c>
      <x:c r="D54" s="10" t="n">
        <x:v>2026</x:v>
      </x:c>
      <x:c r="E54" s="7" t="str">
        <x:v>北京市经济和信息化局</x:v>
      </x:c>
      <x:c r="F54" s="7" t="str">
        <x:v>北京市电动自行车废锂电池回收利用管理办法（试行）（京经信发〔2026〕42号）</x:v>
      </x:c>
      <x:c r="G54" s="7" t="str">
        <x:v>第26条规定10-01实施；鼓励与废动力电池集中贮存网点共享共用。</x:v>
      </x:c>
      <x:c r="H54" s="7" t="str">
        <x:v>适用对象为电动自行车废锂电池；网点共用不改变新能源汽车废旧动力电池禁用领域要求。 正文落款与栏目元数据日期不一致，分别保留。</x:v>
      </x:c>
      <x:c r="I54" s="7" t="str">
        <x:v>官方全文及日期核验</x:v>
      </x:c>
      <x:c r="J54" s="7" t="str">
        <x:v>正文落款09-10；栏目元数据09-11；页面路径09-14；10-01实施</x:v>
      </x:c>
      <x:c r="K54" s="7" t="str">
        <x:v>3.3</x:v>
      </x:c>
      <x:c r="L54" s="7" t="str">
        <x:v>https://www.beijing.gov.cn/zhengce/zhengcefagui/202609/t20260914_4862708.html</x:v>
      </x:c>
      <x:c r="M54" s="7"/>
      <x:c r="N54" s="7" t="str">
        <x:v>北京市经济和信息化局．北京市电动自行车废锂电池回收利用管理办法（试行）（京经信发〔2026〕42号）[EB/OL]．(2026-09-10)[2026-10-20]．https://www.beijing.gov.cn/zhengce/zhengcefagui/202609/t20260914_4862708.html</x:v>
      </x:c>
      <x:c r="O54" s="9" t="d">
        <x:v>2026-10-20T00:00:00.000Z</x:v>
      </x:c>
    </x:row>
    <x:row r="55" ht="64" customHeight="1">
      <x:c r="A55" s="7" t="str">
        <x:v>B03</x:v>
      </x:c>
      <x:c r="B55" s="10" t="n">
        <x:v>65</x:v>
      </x:c>
      <x:c r="C55" s="10" t="str">
        <x:v>公开交易场景</x:v>
      </x:c>
      <x:c r="D55" s="10" t="n">
        <x:v>2026</x:v>
      </x:c>
      <x:c r="E55" s="7" t="str">
        <x:v>新疆智域纪元科技有限公司</x:v>
      </x:c>
      <x:c r="F55" s="7" t="str">
        <x:v>一批退役动力电池拍卖交易公告（河南省公共资源交易中心刊载）</x:v>
      </x:c>
      <x:c r="G55" s="7" t="str">
        <x:v>竞买要求含平台注册及成交后编码、流向变更与报送；并列运输、贮存等条件。</x:v>
      </x:c>
      <x:c r="H55" s="7" t="str">
        <x:v>发行人为拍卖公司、标的在哈密，网站刊载不等于全国政策；拍卖定于10-26，10-20尚无成交与履行结果。</x:v>
      </x:c>
      <x:c r="I55" s="7" t="str">
        <x:v>官方全文及日期核验</x:v>
      </x:c>
      <x:c r="J55" s="7" t="str">
        <x:v>10-16发布；10-16—25公告期；10-26拟拍卖</x:v>
      </x:c>
      <x:c r="K55" s="7" t="str">
        <x:v>4.3</x:v>
      </x:c>
      <x:c r="L55" s="7" t="str">
        <x:v>https://hnsggzyjy.henan.gov.cn/jyxx/002003/002003001/20261016/062d6d63-6f08-442c-96b7-b1a7b7ea62c2.html</x:v>
      </x:c>
      <x:c r="M55" s="7"/>
      <x:c r="N55" s="7" t="str">
        <x:v>新疆智域纪元科技有限公司．一批退役动力电池拍卖交易公告（河南省公共资源交易中心刊载）[EB/OL]．(2026-10-16)[2026-10-20]．https://hnsggzyjy.henan.gov.cn/jyxx/002003/002003001/20261016/062d6d63-6f08-442c-96b7-b1a7b7ea62c2.html</x:v>
      </x:c>
      <x:c r="O55" s="9" t="d">
        <x:v>2026-10-20T00:00:00.000Z</x:v>
      </x:c>
    </x:row>
    <x:row r="56" ht="64" customHeight="1">
      <x:c r="A56" s="7" t="str">
        <x:v>K01</x:v>
      </x:c>
      <x:c r="B56" s="10" t="n">
        <x:v>61</x:v>
      </x:c>
      <x:c r="C56" s="10" t="str">
        <x:v>专利技术披露</x:v>
      </x:c>
      <x:c r="D56" s="10" t="n">
        <x:v>2026</x:v>
      </x:c>
      <x:c r="E56" s="7" t="str">
        <x:v>荣常如, 王雪, 高敬莞, 等</x:v>
      </x:c>
      <x:c r="F56" s="7" t="str">
        <x:v>一种动力电池护照管理方法、装置、电子设备及存储介质：CN121391285A</x:v>
      </x:c>
      <x:c r="G56" s="7" t="str">
        <x:v>权利要求1、3、6、7：唯一标识、多源数据、版本化护照、模板字段与LCA边界校验。</x:v>
      </x:c>
      <x:c r="H56" s="7" t="str">
        <x:v>A为公开文本；技术披露及申请人效果陈述不作为工程实证；本次未独立核实实时权利状态。</x:v>
      </x:c>
      <x:c r="I56" s="7" t="str">
        <x:v>公开专利说明书、权利要求及题录核验</x:v>
      </x:c>
      <x:c r="J56" s="7" t="str">
        <x:v>申请2025-09-05；公开2026-01-23；按公开文本分析</x:v>
      </x:c>
      <x:c r="K56" s="7" t="str">
        <x:v>4.3</x:v>
      </x:c>
      <x:c r="L56" s="7" t="str">
        <x:v>https://patents.google.com/patent/CN121391285A/zh</x:v>
      </x:c>
      <x:c r="M56" s="7"/>
      <x:c r="N56" s="7" t="str">
        <x:v>荣常如, 王雪, 高敬莞, 等．一种动力电池护照管理方法、装置、电子设备及存储介质：CN121391285A[P/OL]．2026-01-23[2026-10-20]．https://patents.google.com/patent/CN121391285A/zh</x:v>
      </x:c>
      <x:c r="O56" s="9" t="d">
        <x:v>2026-10-20T00:00:00.000Z</x:v>
      </x:c>
    </x:row>
    <x:row r="57" ht="64" customHeight="1">
      <x:c r="A57" s="7" t="str">
        <x:v>K02</x:v>
      </x:c>
      <x:c r="B57" s="10" t="n">
        <x:v>62</x:v>
      </x:c>
      <x:c r="C57" s="10" t="str">
        <x:v>专利技术披露</x:v>
      </x:c>
      <x:c r="D57" s="10" t="n">
        <x:v>2026</x:v>
      </x:c>
      <x:c r="E57" s="7" t="str">
        <x:v>王梦楠, 胡帅, 高斌, 等</x:v>
      </x:c>
      <x:c r="F57" s="7" t="str">
        <x:v>电池包追溯方法、系统、设备及介质：CN121810320A</x:v>
      </x:c>
      <x:c r="G57" s="7" t="str">
        <x:v>权利要求1、4：电芯身份码与槽位映射，更换后保留新旧身份及事件记录。</x:v>
      </x:c>
      <x:c r="H57" s="7" t="str">
        <x:v>本稿选读A文本；检索页另列B文本06-26公开，不重复计为两项发明，不据此作实时有效性或侵权判断。</x:v>
      </x:c>
      <x:c r="I57" s="7" t="str">
        <x:v>公开专利说明书、权利要求及题录核验</x:v>
      </x:c>
      <x:c r="J57" s="7" t="str">
        <x:v>申请2026-03-10；A公开04-07；同申请B文本06-26公开</x:v>
      </x:c>
      <x:c r="K57" s="7" t="str">
        <x:v>4.3</x:v>
      </x:c>
      <x:c r="L57" s="7" t="str">
        <x:v>https://patents.google.com/patent/CN121810320A/zh</x:v>
      </x:c>
      <x:c r="M57" s="7"/>
      <x:c r="N57" s="7" t="str">
        <x:v>王梦楠, 胡帅, 高斌, 等．电池包追溯方法、系统、设备及介质：CN121810320A[P/OL]．2026-04-07[2026-10-20]．https://patents.google.com/patent/CN121810320A/zh</x:v>
      </x:c>
      <x:c r="O57" s="9" t="d">
        <x:v>2026-10-20T00:00:00.000Z</x:v>
      </x:c>
    </x:row>
    <x:row r="58" ht="64" customHeight="1">
      <x:c r="A58" s="7" t="str">
        <x:v>K03</x:v>
      </x:c>
      <x:c r="B58" s="10" t="n">
        <x:v>63</x:v>
      </x:c>
      <x:c r="C58" s="10" t="str">
        <x:v>专利技术披露</x:v>
      </x:c>
      <x:c r="D58" s="10" t="n">
        <x:v>2025</x:v>
      </x:c>
      <x:c r="E58" s="7" t="str">
        <x:v>余海军, 谢英豪, 徐加雷, 等</x:v>
      </x:c>
      <x:c r="F58" s="7" t="str">
        <x:v>基于RMS的再生料占比核算与溯源方法、装置及存储介质：CN120077396A</x:v>
      </x:c>
      <x:c r="G58" s="7" t="str">
        <x:v>权利要求1、5按周期和系统边界汇集来源物料，对元素再生料占比核算；RMS为申请人命名。</x:v>
      </x:c>
      <x:c r="H58" s="7" t="str">
        <x:v>RMS不是据此可认定的法定统一标准；占比数据不直接等于碳减排或材料性能。</x:v>
      </x:c>
      <x:c r="I58" s="7" t="str">
        <x:v>公开专利说明书、权利要求及题录核验</x:v>
      </x:c>
      <x:c r="J58" s="7" t="str">
        <x:v>优先权2023-11-24；申请2024-11-24；公开2025-05-30</x:v>
      </x:c>
      <x:c r="K58" s="7" t="str">
        <x:v>4.3</x:v>
      </x:c>
      <x:c r="L58" s="7" t="str">
        <x:v>https://patents.google.com/patent/CN120077396A/zh</x:v>
      </x:c>
      <x:c r="M58" s="7"/>
      <x:c r="N58" s="7" t="str">
        <x:v>余海军, 谢英豪, 徐加雷, 等．基于RMS的再生料占比核算与溯源方法、装置及存储介质：CN120077396A[P/OL]．2025-05-30[2026-10-20]．https://patents.google.com/patent/CN120077396A/zh</x:v>
      </x:c>
      <x:c r="O58" s="9" t="d">
        <x:v>2026-10-20T00:00:00.000Z</x:v>
      </x:c>
    </x:row>
    <x:row r="59" ht="64" customHeight="1">
      <x:c r="A59" s="7" t="str">
        <x:v>K04</x:v>
      </x:c>
      <x:c r="B59" s="10" t="n">
        <x:v>64</x:v>
      </x:c>
      <x:c r="C59" s="10" t="str">
        <x:v>专利技术披露</x:v>
      </x:c>
      <x:c r="D59" s="10" t="n">
        <x:v>2025</x:v>
      </x:c>
      <x:c r="E59" s="7" t="str">
        <x:v>SCHWABE H, HAARDT D</x:v>
      </x:c>
      <x:c r="F59" s="7" t="str">
        <x:v>Battery passport: US20250132404A1</x:v>
      </x:c>
      <x:c r="G59" s="7" t="str">
        <x:v>权利要求1、5、10及说明书图14：实物标识与去中心化标识关联，组件信息嵌套及受控数据访问。</x:v>
      </x:c>
      <x:c r="H59" s="7" t="str">
        <x:v>2025年公开不等于2025年首次发明；最早优先权2021-12-21；美国申请不代表中国现行规范或全球有效权利。</x:v>
      </x:c>
      <x:c r="I59" s="7" t="str">
        <x:v>公开专利说明书、权利要求及题录核验</x:v>
      </x:c>
      <x:c r="J59" s="7" t="str">
        <x:v>优先权2021-12-21；申请2022-12-19；公开2025-04-24</x:v>
      </x:c>
      <x:c r="K59" s="7" t="str">
        <x:v>4.3</x:v>
      </x:c>
      <x:c r="L59" s="7" t="str">
        <x:v>https://patents.google.com/patent/US20250132404A1/en</x:v>
      </x:c>
      <x:c r="M59" s="7"/>
      <x:c r="N59" s="7" t="str">
        <x:v>SCHWABE H, HAARDT D．Battery passport: US20250132404A1[P/OL]．2025-04-24[2026-10-20]．https://patents.google.com/patent/US20250132404A1/en</x:v>
      </x:c>
      <x:c r="O59" s="9" t="d">
        <x:v>2026-10-20T00:00:00.000Z</x:v>
      </x:c>
    </x:row>
    <x:row r="60" ht="64" customHeight="1">
      <x:c r="A60" s="7" t="str">
        <x:v>L15</x:v>
      </x:c>
      <x:c r="B60" s="10" t="n">
        <x:v>33</x:v>
      </x:c>
      <x:c r="C60" s="10" t="str">
        <x:v>研究预印本</x:v>
      </x:c>
      <x:c r="D60" s="10" t="n">
        <x:v>2026</x:v>
      </x:c>
      <x:c r="E60" s="7" t="str">
        <x:v>ADEWUMI T, KARLSSON M, ALKHALED L, et al.</x:v>
      </x:c>
      <x:c r="F60" s="7" t="str">
        <x:v>BatteryPass-12K: The First Dataset for the Novel Digital Battery Passport Conformance Task</x:v>
      </x:c>
      <x:c r="G60" s="7" t="str">
        <x:v>以试点护照为基础生成12000条合成记录，比较22种语言模型的护照符合性分类表现。</x:v>
      </x:c>
      <x:c r="H60" s="7" t="str">
        <x:v>合成基准、欧洲法规语境；不是中国平台交易样本，也不能替代实物核验和违法认定。</x:v>
      </x:c>
      <x:c r="I60" s="7" t="str">
        <x:v>作者公开预印本全文；未核实同行评审发表</x:v>
      </x:c>
      <x:c r="J60" s="7" t="str">
        <x:v>作者预印本；不标为已核验同行评审SCI</x:v>
      </x:c>
      <x:c r="K60" s="7" t="str">
        <x:v>2.4；5.6</x:v>
      </x:c>
      <x:c r="L60" s="7" t="str">
        <x:v>https://arxiv.org/abs/2604.26986</x:v>
      </x:c>
      <x:c r="M60" s="7"/>
      <x:c r="N60" s="7" t="str">
        <x:v>ADEWUMI T, KARLSSON M, ALKHALED L, et al．BatteryPass-12K: The First Dataset for the Novel Digital Battery Passport Conformance Task[EB/OL]．(2026-04-28)[2026-10-20]．https://arxiv.org/abs/2604.26986</x:v>
      </x:c>
      <x:c r="O60" s="9" t="d">
        <x:v>2026-10-20T00:00:00.000Z</x:v>
      </x:c>
    </x:row>
    <x:row r="61" ht="64" customHeight="1">
      <x:c r="A61" s="7" t="str">
        <x:v>I06</x:v>
      </x:c>
      <x:c r="B61" s="10" t="n">
        <x:v>9</x:v>
      </x:c>
      <x:c r="C61" s="10" t="str">
        <x:v>国际权威报告</x:v>
      </x:c>
      <x:c r="D61" s="10" t="n">
        <x:v>2026</x:v>
      </x:c>
      <x:c r="E61" s="7" t="str">
        <x:v>International Energy Agency</x:v>
      </x:c>
      <x:c r="F61" s="7" t="str">
        <x:v>Global EV Outlook 2026: Electric vehicle batteries</x:v>
      </x:c>
      <x:c r="G61" s="7" t="str">
        <x:v>区分制造废料与退役来源，分析化学体系、回收原料供给及商业模式。</x:v>
      </x:c>
      <x:c r="H61" s="7" t="str">
        <x:v>新装机结构不等于当期退役结构；回收产能不等于实际处理量。</x:v>
      </x:c>
      <x:c r="I61" s="7" t="str">
        <x:v>官网全文</x:v>
      </x:c>
      <x:c r="J61" s="7" t="str">
        <x:v>2026年报告；官方PDF295页</x:v>
      </x:c>
      <x:c r="K61" s="7" t="str">
        <x:v>1.1；2.1；4.4.3</x:v>
      </x:c>
      <x:c r="L61" s="7" t="str">
        <x:v>https://www.iea.org/reports/global-ev-outlook-2026/electric-vehicle-batteries</x:v>
      </x:c>
      <x:c r="M61" s="7"/>
      <x:c r="N61" s="7" t="str">
        <x:v>International Energy Agency．Global EV Outlook 2026: Electric vehicle batteries[R/OL]．2026[2026-10-20]．https://www.iea.org/reports/global-ev-outlook-2026/electric-vehicle-batteries</x:v>
      </x:c>
      <x:c r="O61" s="9" t="d">
        <x:v>2026-10-20T00:00:00.000Z</x:v>
      </x:c>
    </x:row>
    <x:row r="62" ht="64" customHeight="1">
      <x:c r="A62" s="7" t="str">
        <x:v>D03</x:v>
      </x:c>
      <x:c r="B62" s="10" t="n">
        <x:v>10</x:v>
      </x:c>
      <x:c r="C62" s="10" t="str">
        <x:v>国际机构图表数据</x:v>
      </x:c>
      <x:c r="D62" s="10" t="n">
        <x:v>2026</x:v>
      </x:c>
      <x:c r="E62" s="7" t="str">
        <x:v>International Energy Agency</x:v>
      </x:c>
      <x:c r="F62" s="7" t="str">
        <x:v>Electric vehicle battery sales share by chemistry and region, 2023–2025</x:v>
      </x:c>
      <x:c r="G62" s="7" t="str">
        <x:v>12组地区—年份数据；中国LFP份额67.3%、74.6%、81.2%。</x:v>
      </x:c>
      <x:c r="H62" s="7" t="str">
        <x:v>按新注册电动车电池容量计算；不含二/三轮车，LFP含LMFP；不是退役占比。</x:v>
      </x:c>
      <x:c r="I62" s="7" t="str">
        <x:v>官网全文</x:v>
      </x:c>
      <x:c r="J62" s="7" t="str">
        <x:v>官网图表最后更新2026-04-14；CC BY 4.0</x:v>
      </x:c>
      <x:c r="K62" s="7" t="str">
        <x:v>1.1；图4</x:v>
      </x:c>
      <x:c r="L62" s="7" t="str">
        <x:v>https://www.iea.org/data-and-statistics/charts/electric-vehicle-battery-sales-share-by-chemistry-and-region-2023-2025</x:v>
      </x:c>
      <x:c r="M62" s="7"/>
      <x:c r="N62" s="7" t="str">
        <x:v>International Energy Agency．Electric vehicle battery sales share by chemistry and region, 2023–2025[R/OL]．2026[2026-10-20]．https://www.iea.org/data-and-statistics/charts/electric-vehicle-battery-sales-share-by-chemistry-and-region-2023-2025</x:v>
      </x:c>
      <x:c r="O62" s="9" t="d">
        <x:v>2026-10-20T00:00:00.000Z</x:v>
      </x:c>
    </x:row>
    <x:row r="63" ht="64" customHeight="1">
      <x:c r="A63" s="7" t="str">
        <x:v>I07</x:v>
      </x:c>
      <x:c r="B63" s="10" t="n">
        <x:v>60</x:v>
      </x:c>
      <x:c r="C63" s="10" t="str">
        <x:v>国际专利报告</x:v>
      </x:c>
      <x:c r="D63" s="10" t="n">
        <x:v>2026</x:v>
      </x:c>
      <x:c r="E63" s="7" t="str">
        <x:v>International Energy Agency; European Patent Office</x:v>
      </x:c>
      <x:c r="F63" s="7" t="str">
        <x:v>Battery Circularity: Innovation trends for a future source of critical materials</x:v>
      </x:c>
      <x:c r="G63" s="7" t="str">
        <x:v>全球国际专利数据按收集分选、机械处理、材料回收等任务分析创新。</x:v>
      </x:c>
      <x:c r="H63" s="7" t="str">
        <x:v>2017—2023年的国际专利趋势不等于2026中国授权有效量或工程绩效；该报告非CC许可，本文不转载其图。</x:v>
      </x:c>
      <x:c r="I63" s="7" t="str">
        <x:v>官方报告介绍及发布日期</x:v>
      </x:c>
      <x:c r="J63" s="7" t="str">
        <x:v>2026-04-29发布；官方报告介绍核验</x:v>
      </x:c>
      <x:c r="K63" s="7" t="str">
        <x:v>4.3</x:v>
      </x:c>
      <x:c r="L63" s="7" t="str">
        <x:v>https://www.iea.org/reports/battery-circularity</x:v>
      </x:c>
      <x:c r="M63" s="7"/>
      <x:c r="N63" s="7" t="str">
        <x:v>International Energy Agency; European Patent Office．Battery Circularity: Innovation trends for a future source of critical materials[R/OL]．2026[2026-10-20]．https://www.iea.org/reports/battery-circularity</x:v>
      </x:c>
      <x:c r="O63" s="9" t="d">
        <x:v>2026-10-20T00:00:00.000Z</x:v>
      </x:c>
    </x:row>
    <x:row r="64" ht="64" customHeight="1">
      <x:c r="A64" s="7" t="str">
        <x:v>I08</x:v>
      </x:c>
      <x:c r="B64" s="10" t="n">
        <x:v>16</x:v>
      </x:c>
      <x:c r="C64" s="10" t="str">
        <x:v>国际权威报告</x:v>
      </x:c>
      <x:c r="D64" s="10" t="n">
        <x:v>2024</x:v>
      </x:c>
      <x:c r="E64" s="7" t="str">
        <x:v>International Energy Agency</x:v>
      </x:c>
      <x:c r="F64" s="7" t="str">
        <x:v>Recycling of Critical Minerals</x:v>
      </x:c>
      <x:c r="G64" s="7" t="str">
        <x:v>将收集、再生料供应与原生需求连接，分析政策及二次资源潜力。</x:v>
      </x:c>
      <x:c r="H64" s="7" t="str">
        <x:v>情景与全球汇总不直接作为中国本地收集率或排放因子。</x:v>
      </x:c>
      <x:c r="I64" s="7" t="str">
        <x:v>官网全文</x:v>
      </x:c>
      <x:c r="J64" s="7" t="str">
        <x:v>2024报告；官方执行摘要</x:v>
      </x:c>
      <x:c r="K64" s="7" t="str">
        <x:v>2.1；4.4.3</x:v>
      </x:c>
      <x:c r="L64" s="7" t="str">
        <x:v>https://www.iea.org/reports/recycling-of-critical-minerals/executive-summary</x:v>
      </x:c>
      <x:c r="M64" s="7"/>
      <x:c r="N64" s="7" t="str">
        <x:v>International Energy Agency．Recycling of Critical Minerals[R/OL]．2024[2026-10-20]．https://www.iea.org/reports/recycling-of-critical-minerals/executive-summary</x:v>
      </x:c>
      <x:c r="O64" s="9" t="d">
        <x:v>2026-10-20T00:00:00.000Z</x:v>
      </x:c>
    </x:row>
    <x:row r="65" ht="64" customHeight="1">
      <x:c r="A65" s="7" t="str">
        <x:v>B04</x:v>
      </x:c>
      <x:c r="B65" s="10" t="n">
        <x:v>54</x:v>
      </x:c>
      <x:c r="C65" s="10" t="str">
        <x:v>官方专题发布会</x:v>
      </x:c>
      <x:c r="D65" s="10" t="n">
        <x:v>2025</x:v>
      </x:c>
      <x:c r="E65" s="7" t="str">
        <x:v>国家市场监督管理总局</x:v>
      </x:c>
      <x:c r="F65" s="7" t="str">
        <x:v>动力电池回收利用标准化专题新闻发布会实录</x:v>
      </x:c>
      <x:c r="G65" s="7" t="str">
        <x:v>官方说明标准体系、镍钴锰综合回收率不低于98%、锂回收率不低于85%；示例企业指标另列。</x:v>
      </x:c>
      <x:c r="H65" s="7" t="str">
        <x:v>22项为2025-10-17时点国家标准数；不作为2026总数，企业个案不能充当行业平均。</x:v>
      </x:c>
      <x:c r="I65" s="7" t="str">
        <x:v>官网全文</x:v>
      </x:c>
      <x:c r="J65" s="7" t="str">
        <x:v>2025-10-17发布</x:v>
      </x:c>
      <x:c r="K65" s="7" t="str">
        <x:v>3.5；4.4.1；4.4.3</x:v>
      </x:c>
      <x:c r="L65" s="7" t="str">
        <x:v>https://www.samr.gov.cn/xw/xwfbt/art/2025/art_9269729e74ca43bcad78a3cdbe0c6756.html</x:v>
      </x:c>
      <x:c r="M65" s="7"/>
      <x:c r="N65" s="7" t="str">
        <x:v>国家市场监督管理总局．动力电池回收利用标准化专题新闻发布会实录[R/OL]．2025[2026-10-20]．https://www.samr.gov.cn/xw/xwfbt/art/2025/art_9269729e74ca43bcad78a3cdbe0c6756.html</x:v>
      </x:c>
      <x:c r="O65" s="9" t="d">
        <x:v>2026-10-20T00:00:00.000Z</x:v>
      </x:c>
    </x:row>
    <x:row r="66" ht="64" customHeight="1">
      <x:c r="A66" s="7" t="str">
        <x:v>L16</x:v>
      </x:c>
      <x:c r="B66" s="10" t="n">
        <x:v>13</x:v>
      </x:c>
      <x:c r="C66" s="10" t="str">
        <x:v>研究文献—综述</x:v>
      </x:c>
      <x:c r="D66" s="10" t="n">
        <x:v>2024</x:v>
      </x:c>
      <x:c r="E66" s="7" t="str">
        <x:v>TEMBO P M, DYER C, SUBRAMANIAN V</x:v>
      </x:c>
      <x:c r="F66" s="7" t="str">
        <x:v>Lithium-ion battery recycling—a review of the material supply and policy infrastructure. NPG Asia Materials, 16:43</x:v>
      </x:c>
      <x:c r="G66" s="7" t="str">
        <x:v>比较回收工艺、经济与政策；Fig.7给出直接再生流程示例。</x:v>
      </x:c>
      <x:c r="H66" s="7" t="str">
        <x:v>跨地区综述及示意图不能确定中国当前合法用途，也不能代替工厂能耗清单。</x:v>
      </x:c>
      <x:c r="I66" s="7" t="str">
        <x:v>公开全文及Fig.7；图注与CC BY 4.0核验</x:v>
      </x:c>
      <x:c r="J66" s="7" t="str">
        <x:v>研究文献；见核验层级</x:v>
      </x:c>
      <x:c r="K66" s="7" t="str">
        <x:v>2.1</x:v>
      </x:c>
      <x:c r="L66" s="7" t="str">
        <x:v>https://doi.org/10.1038/s41427-024-00562-8</x:v>
      </x:c>
      <x:c r="M66" s="7" t="str">
        <x:v>10.1038/s41427-024-00562-8</x:v>
      </x:c>
      <x:c r="N66" s="7" t="str">
        <x:v>TEMBO P M, DYER C, SUBRAMANIAN V．Lithium-ion battery recycling—a review of the material supply and policy infrastructure. NPG Asia Materials, 16:43[J]．2024[2026-10-20]．https://doi.org/10.1038/s41427-024-00562-8</x:v>
      </x:c>
      <x:c r="O66" s="9" t="d">
        <x:v>2026-10-20T00:00:00.000Z</x:v>
      </x:c>
    </x:row>
    <x:row r="67" ht="64" customHeight="1">
      <x:c r="A67" s="7" t="str">
        <x:v>L17</x:v>
      </x:c>
      <x:c r="B67" s="10" t="n">
        <x:v>27</x:v>
      </x:c>
      <x:c r="C67" s="10" t="str">
        <x:v>研究文献—综述</x:v>
      </x:c>
      <x:c r="D67" s="10" t="n">
        <x:v>2025</x:v>
      </x:c>
      <x:c r="E67" s="7" t="str">
        <x:v>SCHLOTT L, GUTSCH M, LEKER J</x:v>
      </x:c>
      <x:c r="F67" s="7" t="str">
        <x:v>Cost modelling and key drivers in lithium-ion battery recycling. Nature Reviews Clean Technology, 1:656–670</x:v>
      </x:c>
      <x:c r="G67" s="7" t="str">
        <x:v>成本综述发现运输、拆解与资本投入等口径遗漏影响路线比较。</x:v>
      </x:c>
      <x:c r="H67" s="7" t="str">
        <x:v>本次使用公开摘要与要点；不移植其成本区间为中国本地回收价格。</x:v>
      </x:c>
      <x:c r="I67" s="7" t="str">
        <x:v>出版社题录、摘要与公开要点</x:v>
      </x:c>
      <x:c r="J67" s="7" t="str">
        <x:v>2025-08-08上线；网页显示2025-09-30更正，使用当前页面</x:v>
      </x:c>
      <x:c r="K67" s="7" t="str">
        <x:v>2.3；4.4.2</x:v>
      </x:c>
      <x:c r="L67" s="7" t="str">
        <x:v>https://doi.org/10.1038/s44359-025-00095-5</x:v>
      </x:c>
      <x:c r="M67" s="7" t="str">
        <x:v>10.1038/s44359-025-00095-5</x:v>
      </x:c>
      <x:c r="N67" s="7" t="str">
        <x:v>SCHLOTT L, GUTSCH M, LEKER J．Cost modelling and key drivers in lithium-ion battery recycling. Nature Reviews Clean Technology, 1:656–670[J]．2025[2026-10-20]．https://doi.org/10.1038/s44359-025-00095-5</x:v>
      </x:c>
      <x:c r="O67" s="9" t="d">
        <x:v>2026-10-20T00:00:00.000Z</x:v>
      </x:c>
    </x:row>
    <x:row r="68" ht="64" customHeight="1">
      <x:c r="A68" s="7" t="str">
        <x:v>L18</x:v>
      </x:c>
      <x:c r="B68" s="10" t="n">
        <x:v>14</x:v>
      </x:c>
      <x:c r="C68" s="10" t="str">
        <x:v>研究文献—综述</x:v>
      </x:c>
      <x:c r="D68" s="10" t="n">
        <x:v>2025</x:v>
      </x:c>
      <x:c r="E68" s="7" t="str">
        <x:v>谢红伟, 时玮, 陈诗荣, 等</x:v>
      </x:c>
      <x:c r="F68" s="7" t="str">
        <x:v>退役电池特征指标提取和处理方法综述. 储能科学与技术, 14(9):3581–3595</x:v>
      </x:c>
      <x:c r="G68" s="7" t="str">
        <x:v>从模型—测试—算法讨论容量、内阻、一致性等特征及效率—精度权衡。</x:v>
      </x:c>
      <x:c r="H68" s="7" t="str">
        <x:v>本文只采用方法分类；原综述表中的标准归属与数字须回查标准，不作为新模型阈值。</x:v>
      </x:c>
      <x:c r="I68" s="7" t="str">
        <x:v>期刊官网摘要、公开图表及题录</x:v>
      </x:c>
      <x:c r="J68" s="7" t="str">
        <x:v>研究文献；见核验层级</x:v>
      </x:c>
      <x:c r="K68" s="7" t="str">
        <x:v>2.1；4.4.1</x:v>
      </x:c>
      <x:c r="L68" s="7" t="str">
        <x:v>https://esst.cip.com.cn/CN/10.19799/j.cnki.2095-4239.2025.0149</x:v>
      </x:c>
      <x:c r="M68" s="7" t="str">
        <x:v>10.19799/j.cnki.2095-4239.2025.0149</x:v>
      </x:c>
      <x:c r="N68" s="7" t="str">
        <x:v>谢红伟, 时玮, 陈诗荣, 等．退役电池特征指标提取和处理方法综述. 储能科学与技术, 14(9):3581–3595[J]．2025[2026-10-20]．https://esst.cip.com.cn/CN/10.19799/j.cnki.2095-4239.2025.0149</x:v>
      </x:c>
      <x:c r="O68" s="9" t="d">
        <x:v>2026-10-20T00:00:00.000Z</x:v>
      </x:c>
    </x:row>
    <x:row r="69" ht="64" customHeight="1">
      <x:c r="A69" s="7" t="str">
        <x:v>L19</x:v>
      </x:c>
      <x:c r="B69" s="10" t="n">
        <x:v>15</x:v>
      </x:c>
      <x:c r="C69" s="10" t="str">
        <x:v>研究文献—实证LCA</x:v>
      </x:c>
      <x:c r="D69" s="10" t="n">
        <x:v>2025</x:v>
      </x:c>
      <x:c r="E69" s="7" t="str">
        <x:v>MACHALA M L, CHEN X, BUNKE S P, et al.</x:v>
      </x:c>
      <x:c r="F69" s="7" t="str">
        <x:v>Life cycle comparison of industrial-scale lithium-ion battery recycling and mining supply chains. Nature Communications, 16:988</x:v>
      </x:c>
      <x:c r="G69" s="7" t="str">
        <x:v>以工业运营数据、同功能单位比较再生与原生供应；用电来源影响环境表现。</x:v>
      </x:c>
      <x:c r="H69" s="7" t="str">
        <x:v>美国特定企业2021运营边界和NCA当量功能单位不能直接替代中国2026每吨进料排放。</x:v>
      </x:c>
      <x:c r="I69" s="7" t="str">
        <x:v>出版社开放全文</x:v>
      </x:c>
      <x:c r="J69" s="7" t="str">
        <x:v>研究文献；见核验层级</x:v>
      </x:c>
      <x:c r="K69" s="7" t="str">
        <x:v>2.1；4.4.4</x:v>
      </x:c>
      <x:c r="L69" s="7" t="str">
        <x:v>https://doi.org/10.1038/s41467-025-56063-x</x:v>
      </x:c>
      <x:c r="M69" s="7" t="str">
        <x:v>10.1038/s41467-025-56063-x</x:v>
      </x:c>
      <x:c r="N69" s="7" t="str">
        <x:v>MACHALA M L, CHEN X, BUNKE S P, et al.．Life cycle comparison of industrial-scale lithium-ion battery recycling and mining supply chains. Nature Communications, 16:988[J]．2025[2026-10-20]．https://doi.org/10.1038/s41467-025-56063-x</x:v>
      </x:c>
      <x:c r="O69" s="9" t="d">
        <x:v>2026-10-20T00:00:00.000Z</x:v>
      </x:c>
    </x:row>
    <x:row r="70" ht="64" customHeight="1">
      <x:c r="A70" s="7" t="str">
        <x:v>L20</x:v>
      </x:c>
      <x:c r="B70" s="10" t="n">
        <x:v>22</x:v>
      </x:c>
      <x:c r="C70" s="10" t="str">
        <x:v>研究文献—情景模型</x:v>
      </x:c>
      <x:c r="D70" s="10" t="n">
        <x:v>2025</x:v>
      </x:c>
      <x:c r="E70" s="7" t="str">
        <x:v>ZHANG B, XIN Q, CHEN S, et al.</x:v>
      </x:c>
      <x:c r="F70" s="7" t="str">
        <x:v>Lithium-ion battery recycling relieves the threat to material scarcity amid China’s electric vehicle ambitions. Nature Communications, 16:6661</x:v>
      </x:c>
      <x:c r="G70" s="7" t="str">
        <x:v>连接中国电动车发展、材料需求、收集率、区位与经济环境结果。</x:v>
      </x:c>
      <x:c r="H70" s="7" t="str">
        <x:v>长期情景中的收集目标不属于当前法定要求；宏观结果不能替代网点周转校核。</x:v>
      </x:c>
      <x:c r="I70" s="7" t="str">
        <x:v>出版社开放全文</x:v>
      </x:c>
      <x:c r="J70" s="7" t="str">
        <x:v>研究文献；见核验层级</x:v>
      </x:c>
      <x:c r="K70" s="7" t="str">
        <x:v>2.2；4.4.3</x:v>
      </x:c>
      <x:c r="L70" s="7" t="str">
        <x:v>https://doi.org/10.1038/s41467-025-61481-y</x:v>
      </x:c>
      <x:c r="M70" s="7" t="str">
        <x:v>10.1038/s41467-025-61481-y</x:v>
      </x:c>
      <x:c r="N70" s="7" t="str">
        <x:v>ZHANG B, XIN Q, CHEN S, et al.．Lithium-ion battery recycling relieves the threat to material scarcity amid China’s electric vehicle ambitions. Nature Communications, 16:6661[J]．2025[2026-10-20]．https://doi.org/10.1038/s41467-025-61481-y</x:v>
      </x:c>
      <x:c r="O70" s="9" t="d">
        <x:v>2026-10-20T00:00:00.000Z</x:v>
      </x:c>
    </x:row>
    <x:row r="71" ht="64" customHeight="1">
      <x:c r="A71" s="7" t="str">
        <x:v>S05</x:v>
      </x:c>
      <x:c r="B71" s="10" t="n">
        <x:v>66</x:v>
      </x:c>
      <x:c r="C71" s="10" t="str">
        <x:v>国家推荐性标准</x:v>
      </x:c>
      <x:c r="D71" s="10" t="n">
        <x:v>2024</x:v>
      </x:c>
      <x:c r="E71" s="7" t="str">
        <x:v>国家市场监督管理总局、国家标准化管理委员会</x:v>
      </x:c>
      <x:c r="F71" s="7" t="str">
        <x:v>GB/T 44132—2024 车用动力电池回收利用 通用要求</x:v>
      </x:c>
      <x:c r="G71" s="7" t="str">
        <x:v>回收全流程及引用体系</x:v>
      </x:c>
      <x:c r="H71" s="7" t="str">
        <x:v>用于建立全流程框架，不补写未核验条号或阈值</x:v>
      </x:c>
      <x:c r="I71" s="7" t="str">
        <x:v>官方题录及标准化发布会核验；未取得可复制全文</x:v>
      </x:c>
      <x:c r="J71" s="7" t="str">
        <x:v>2024-05-28发布；2024-05-28实施；截至2026-10-20官网列现行</x:v>
      </x:c>
      <x:c r="K71" s="7" t="str">
        <x:v>4.4.1—4.4.4</x:v>
      </x:c>
      <x:c r="L71" s="7" t="str">
        <x:v>https://openstd.samr.gov.cn/bzgk/std/newGbInfo?hcno=6F9711A3265EBF03FE3C3441D0FE27C0</x:v>
      </x:c>
      <x:c r="M71" s="7"/>
      <x:c r="N71" s="7" t="str">
        <x:v>国家市场监督管理总局、国家标准化管理委员会．GB/T 44132—2024 车用动力电池回收利用 通用要求[S/OL]．2024[2026-10-20]．https://openstd.samr.gov.cn/bzgk/std/newGbInfo?hcno=6F9711A3265EBF03FE3C3441D0FE27C0</x:v>
      </x:c>
      <x:c r="O71" s="9" t="d">
        <x:v>2026-10-20T00:00:00.000Z</x:v>
      </x:c>
    </x:row>
    <x:row r="72" ht="64" customHeight="1">
      <x:c r="A72" s="7" t="str">
        <x:v>S06</x:v>
      </x:c>
      <x:c r="B72" s="10" t="n">
        <x:v>67</x:v>
      </x:c>
      <x:c r="C72" s="10" t="str">
        <x:v>国家推荐性标准</x:v>
      </x:c>
      <x:c r="D72" s="10" t="n">
        <x:v>2020</x:v>
      </x:c>
      <x:c r="E72" s="7" t="str">
        <x:v>国家市场监督管理总局、国家标准化管理委员会</x:v>
      </x:c>
      <x:c r="F72" s="7" t="str">
        <x:v>GB/T 38698.1—2020 车用动力电池回收利用 管理规范 第1部分 包装运输</x:v>
      </x:c>
      <x:c r="G72" s="7" t="str">
        <x:v>包装运输；上海标准第5章明确引用其A/B/C分类</x:v>
      </x:c>
      <x:c r="H72" s="7" t="str">
        <x:v>不以江苏分选标准同名字母类别替代运输分类</x:v>
      </x:c>
      <x:c r="I72" s="7" t="str">
        <x:v>官方题录与地方标准引用条款核验</x:v>
      </x:c>
      <x:c r="J72" s="7" t="str">
        <x:v>2020-03-31发布；2020-10-01实施；截至2026-10-20官网列现行</x:v>
      </x:c>
      <x:c r="K72" s="7" t="str">
        <x:v>4.4.1—4.4.4</x:v>
      </x:c>
      <x:c r="L72" s="7" t="str">
        <x:v>https://openstd.samr.gov.cn/bzgk/std/newGbInfo?hcno=2667076EE97872E731E7985FECF4C3C7</x:v>
      </x:c>
      <x:c r="M72" s="7"/>
      <x:c r="N72" s="7" t="str">
        <x:v>国家市场监督管理总局、国家标准化管理委员会．GB/T 38698.1—2020 车用动力电池回收利用 管理规范 第1部分 包装运输[S/OL]．2020[2026-10-20]．https://openstd.samr.gov.cn/bzgk/std/newGbInfo?hcno=2667076EE97872E731E7985FECF4C3C7</x:v>
      </x:c>
      <x:c r="O72" s="9" t="d">
        <x:v>2026-10-20T00:00:00.000Z</x:v>
      </x:c>
    </x:row>
    <x:row r="73" ht="64" customHeight="1">
      <x:c r="A73" s="7" t="str">
        <x:v>S07</x:v>
      </x:c>
      <x:c r="B73" s="10" t="n">
        <x:v>68</x:v>
      </x:c>
      <x:c r="C73" s="10" t="str">
        <x:v>国家推荐性标准</x:v>
      </x:c>
      <x:c r="D73" s="10" t="n">
        <x:v>2017</x:v>
      </x:c>
      <x:c r="E73" s="7" t="str">
        <x:v>国家市场监督管理总局、国家标准化管理委员会</x:v>
      </x:c>
      <x:c r="F73" s="7" t="str">
        <x:v>GB/T 34014—2017 汽车动力蓄电池编码规则</x:v>
      </x:c>
      <x:c r="G73" s="7" t="str">
        <x:v>编码及跨主体对象关联</x:v>
      </x:c>
      <x:c r="H73" s="7" t="str">
        <x:v>用于身份连接，不编造编码字段长度和校验位规则</x:v>
      </x:c>
      <x:c r="I73" s="7" t="str">
        <x:v>官方题录；页面注明第1号修改单，须连同修改单使用</x:v>
      </x:c>
      <x:c r="J73" s="7" t="str">
        <x:v>2017-07-12发布；2018-02-01实施；截至2026-10-20官网列现行</x:v>
      </x:c>
      <x:c r="K73" s="7" t="str">
        <x:v>4.4.1—4.4.4</x:v>
      </x:c>
      <x:c r="L73" s="7" t="str">
        <x:v>https://openstd.samr.gov.cn/bzgk/std/newGbInfo?hcno=60E981B01DE41613119F9C788AE3EAE4</x:v>
      </x:c>
      <x:c r="M73" s="7"/>
      <x:c r="N73" s="7" t="str">
        <x:v>国家市场监督管理总局、国家标准化管理委员会．GB/T 34014—2017 汽车动力蓄电池编码规则[S/OL]．2017[2026-10-20]．https://openstd.samr.gov.cn/bzgk/std/newGbInfo?hcno=60E981B01DE41613119F9C788AE3EAE4</x:v>
      </x:c>
      <x:c r="O73" s="9" t="d">
        <x:v>2026-10-20T00:00:00.000Z</x:v>
      </x:c>
    </x:row>
    <x:row r="74" ht="64" customHeight="1">
      <x:c r="A74" s="7" t="str">
        <x:v>S08</x:v>
      </x:c>
      <x:c r="B74" s="10" t="n">
        <x:v>69</x:v>
      </x:c>
      <x:c r="C74" s="10" t="str">
        <x:v>国家推荐性标准</x:v>
      </x:c>
      <x:c r="D74" s="10" t="n">
        <x:v>2020</x:v>
      </x:c>
      <x:c r="E74" s="7" t="str">
        <x:v>国家市场监督管理总局、国家标准化管理委员会</x:v>
      </x:c>
      <x:c r="F74" s="7" t="str">
        <x:v>GB/T 33598.2—2020 车用动力电池回收利用 再生利用 第2部分 材料回收要求</x:v>
      </x:c>
      <x:c r="G74" s="7" t="str">
        <x:v>镍钴锰综合回收率≥98%；锂回收率≥85%</x:v>
      </x:c>
      <x:c r="H74" s="7" t="str">
        <x:v>阈值按处理环节分母；98%为镍钴锰综合口径，不是每种电池总质量回收率</x:v>
      </x:c>
      <x:c r="I74" s="7" t="str">
        <x:v>官方题录与市场监管总局2025-10-17发布会原文核验</x:v>
      </x:c>
      <x:c r="J74" s="7" t="str">
        <x:v>2020-03-31发布；2020-10-01实施；截至2026-10-20官网列现行</x:v>
      </x:c>
      <x:c r="K74" s="7" t="str">
        <x:v>4.4.1—4.4.4</x:v>
      </x:c>
      <x:c r="L74" s="7" t="str">
        <x:v>https://openstd.samr.gov.cn/bzgk/std/newGbInfo?hcno=97908F7AAA375BDA99C57E9AC946B0C3</x:v>
      </x:c>
      <x:c r="M74" s="7"/>
      <x:c r="N74" s="7" t="str">
        <x:v>国家市场监督管理总局、国家标准化管理委员会．GB/T 33598.2—2020 车用动力电池回收利用 再生利用 第2部分 材料回收要求[S/OL]．2020[2026-10-20]．https://openstd.samr.gov.cn/bzgk/std/newGbInfo?hcno=97908F7AAA375BDA99C57E9AC946B0C3</x:v>
      </x:c>
      <x:c r="O74" s="9" t="d">
        <x:v>2026-10-20T00:00:00.000Z</x:v>
      </x:c>
    </x:row>
    <x:row r="75" ht="64" customHeight="1">
      <x:c r="A75" s="7" t="str">
        <x:v>S09</x:v>
      </x:c>
      <x:c r="B75" s="10" t="n">
        <x:v>70</x:v>
      </x:c>
      <x:c r="C75" s="10" t="str">
        <x:v>国家推荐性标准</x:v>
      </x:c>
      <x:c r="D75" s="10" t="n">
        <x:v>2026</x:v>
      </x:c>
      <x:c r="E75" s="7" t="str">
        <x:v>国家市场监督管理总局、国家标准化管理委员会</x:v>
      </x:c>
      <x:c r="F75" s="7" t="str">
        <x:v>GB/T 47393—2026 废弃锂电池化学品定向循环利用技术指南</x:v>
      </x:c>
      <x:c r="G75" s="7" t="str">
        <x:v>最新定向循环技术指南，10月1日已实施</x:v>
      </x:c>
      <x:c r="H75" s="7" t="str">
        <x:v>纳入最新标准衔接，不将题名或专利RMS等同指南认可技术</x:v>
      </x:c>
      <x:c r="I75" s="7" t="str">
        <x:v>官方题录与2026第15号公告核验；未获得全文</x:v>
      </x:c>
      <x:c r="J75" s="7" t="str">
        <x:v>2026-03-31发布；2026-10-01实施；截至2026-10-20官网列现行</x:v>
      </x:c>
      <x:c r="K75" s="7" t="str">
        <x:v>4.4.1—4.4.4</x:v>
      </x:c>
      <x:c r="L75" s="7" t="str">
        <x:v>https://openstd.samr.gov.cn/bzgk/std/newGbInfo?hcno=DEF701318D7F8E6E2E8DB6B62390E834</x:v>
      </x:c>
      <x:c r="M75" s="7"/>
      <x:c r="N75" s="7" t="str">
        <x:v>国家市场监督管理总局、国家标准化管理委员会．GB/T 47393—2026 废弃锂电池化学品定向循环利用技术指南[S/OL]．2026[2026-10-20]．https://openstd.samr.gov.cn/bzgk/std/newGbInfo?hcno=DEF701318D7F8E6E2E8DB6B62390E834</x:v>
      </x:c>
      <x:c r="O75" s="9" t="d">
        <x:v>2026-10-20T00:00:00.000Z</x:v>
      </x:c>
    </x:row>
    <x:row r="76" ht="64" customHeight="1">
      <x:c r="A76" s="7" t="str">
        <x:v>S10</x:v>
      </x:c>
      <x:c r="B76" s="10" t="n">
        <x:v>71</x:v>
      </x:c>
      <x:c r="C76" s="10" t="str">
        <x:v>上海推荐性地方标准</x:v>
      </x:c>
      <x:c r="D76" s="10" t="n">
        <x:v>2025</x:v>
      </x:c>
      <x:c r="E76" s="7" t="str">
        <x:v>上海市市场监督管理局</x:v>
      </x:c>
      <x:c r="F76" s="7" t="str">
        <x:v>DB31/T 1556—2025 电动汽车废旧动力电池收集型回收服务网点技术要求</x:v>
      </x:c>
      <x:c r="G76" s="7" t="str">
        <x:v>第6章：A类≤20天；B/C类≤5天；第5章记录≥3年</x:v>
      </x:c>
      <x:c r="H76" s="7" t="str">
        <x:v>适用于上海收集型网点；不适用于集中贮存型，时限不外推全国</x:v>
      </x:c>
      <x:c r="I76" s="7" t="str">
        <x:v>官方8页全文；第5—7章及适用范围核验</x:v>
      </x:c>
      <x:c r="J76" s="7" t="str">
        <x:v>2025-03-26发布；2025-07-01实施；截至2026-10-20官网列现行</x:v>
      </x:c>
      <x:c r="K76" s="7" t="str">
        <x:v>4.4.1—4.4.4</x:v>
      </x:c>
      <x:c r="L76" s="7" t="str">
        <x:v>https://dbba.sacinfo.org.cn/portal/download/9654370ff159be94d8944bc00b4e1a79dbc8f9e011e32ee0e00c6d2e02ade63a</x:v>
      </x:c>
      <x:c r="M76" s="7"/>
      <x:c r="N76" s="7" t="str">
        <x:v>上海市市场监督管理局．DB31/T 1556—2025 电动汽车废旧动力电池收集型回收服务网点技术要求[S/OL]．2025[2026-10-20]．https://dbba.sacinfo.org.cn/portal/download/9654370ff159be94d8944bc00b4e1a79dbc8f9e011e32ee0e00c6d2e02ade63a</x:v>
      </x:c>
      <x:c r="O76" s="9" t="d">
        <x:v>2026-10-20T00:00:00.000Z</x:v>
      </x:c>
    </x:row>
    <x:row r="77" ht="64" customHeight="1">
      <x:c r="A77" s="7" t="str">
        <x:v>S11</x:v>
      </x:c>
      <x:c r="B77" s="10" t="n">
        <x:v>72</x:v>
      </x:c>
      <x:c r="C77" s="10" t="str">
        <x:v>江苏推荐性地方标准</x:v>
      </x:c>
      <x:c r="D77" s="10" t="n">
        <x:v>2024</x:v>
      </x:c>
      <x:c r="E77" s="7" t="str">
        <x:v>江苏省市场监督管理局</x:v>
      </x:c>
      <x:c r="F77" s="7" t="str">
        <x:v>DB32/T 4941—2024 电动汽车用退役动力电池分选技术规程</x:v>
      </x:c>
      <x:c r="G77" s="7" t="str">
        <x:v>6.7.1.2：特定类别剩余容量比&lt;50%或额定容量不可追溯时转再生；6.7.1.1另含直接再生条件</x:v>
      </x:c>
      <x:c r="H77" s="7" t="str">
        <x:v>字母分类与包装运输分类不是同一概念；≥50%不自动等于可再利用，现行用途须核对2026政策</x:v>
      </x:c>
      <x:c r="I77" s="7" t="str">
        <x:v>官方17页全文；范围、5章及6.7核验</x:v>
      </x:c>
      <x:c r="J77" s="7" t="str">
        <x:v>2024-12-16发布；2025-01-16实施；截至2026-10-20官网列现行</x:v>
      </x:c>
      <x:c r="K77" s="7" t="str">
        <x:v>4.4.1—4.4.4</x:v>
      </x:c>
      <x:c r="L77" s="7" t="str">
        <x:v>https://dbba.sacinfo.org.cn/portal/download/12c070065c59095971b84af4ee9b20fba0b76a25d6355f3b062aa69e3eb2e047</x:v>
      </x:c>
      <x:c r="M77" s="7"/>
      <x:c r="N77" s="7" t="str">
        <x:v>江苏省市场监督管理局．DB32/T 4941—2024 电动汽车用退役动力电池分选技术规程[S/OL]．2024[2026-10-20]．https://dbba.sacinfo.org.cn/portal/download/12c070065c59095971b84af4ee9b20fba0b76a25d6355f3b062aa69e3eb2e047</x:v>
      </x:c>
      <x:c r="O77" s="9" t="d">
        <x:v>2026-10-20T00:00:00.000Z</x:v>
      </x:c>
    </x:row>
    <x:row r="78" ht="64" customHeight="1">
      <x:c r="A78" s="7" t="str">
        <x:v>S12</x:v>
      </x:c>
      <x:c r="B78" s="10" t="n">
        <x:v>73</x:v>
      </x:c>
      <x:c r="C78" s="10" t="str">
        <x:v>湖南推荐性地方标准</x:v>
      </x:c>
      <x:c r="D78" s="10" t="n">
        <x:v>2025</x:v>
      </x:c>
      <x:c r="E78" s="7" t="str">
        <x:v>湖南省市场监督管理局</x:v>
      </x:c>
      <x:c r="F78" s="7" t="str">
        <x:v>DB43/T 3437—2025 车用动力锂电池回收利用企业碳核算技术规范</x:v>
      </x:c>
      <x:c r="G78" s="7" t="str">
        <x:v>4章组织/设施边界；5.2.1总量、5.2.4运输、5.2.5电热；绿电单列不直接扣减</x:v>
      </x:c>
      <x:c r="H78" s="7" t="str">
        <x:v>企业排放核算不是全生命周期减排；标准历史梯次措辞不自动决定现行用途</x:v>
      </x:c>
      <x:c r="I78" s="7" t="str">
        <x:v>官方31页扫描全文逐页选读；印刷页3—7</x:v>
      </x:c>
      <x:c r="J78" s="7" t="str">
        <x:v>2025-12-15发布；2026-03-15实施；截至2026-10-20官网列现行</x:v>
      </x:c>
      <x:c r="K78" s="7" t="str">
        <x:v>4.4.1—4.4.4</x:v>
      </x:c>
      <x:c r="L78" s="7" t="str">
        <x:v>https://dbba.sacinfo.org.cn/portal/download/78cef7eb10a04f13bf79b32dd84edfb596548488c57af9111182a1d474b5e117</x:v>
      </x:c>
      <x:c r="M78" s="7"/>
      <x:c r="N78" s="7" t="str">
        <x:v>湖南省市场监督管理局．DB43/T 3437—2025 车用动力锂电池回收利用企业碳核算技术规范[S/OL]．2025[2026-10-20]．https://dbba.sacinfo.org.cn/portal/download/78cef7eb10a04f13bf79b32dd84edfb596548488c57af9111182a1d474b5e117</x:v>
      </x:c>
      <x:c r="O78" s="9" t="d">
        <x:v>2026-10-20T00:00:00.000Z</x:v>
      </x:c>
    </x:row>
    <x:row r="79" ht="64" customHeight="1">
      <x:c r="A79" s="28" t="str">
        <x:v>D04</x:v>
      </x:c>
      <x:c r="B79" s="28" t="n">
        <x:v>3</x:v>
      </x:c>
      <x:c r="C79" s="28" t="str">
        <x:v>行业数据</x:v>
      </x:c>
      <x:c r="D79" s="28" t="n">
        <x:v>2021</x:v>
      </x:c>
      <x:c r="E79" s="28" t="str">
        <x:v>工业和信息化部装备工业一司</x:v>
      </x:c>
      <x:c r="F79" s="28" t="str">
        <x:v>2020年12月汽车工业经济运行情况</x:v>
      </x:c>
      <x:c r="G79" s="28" t="str">
        <x:v>2020—2022年新能源汽车产销及占比，用于扩展图3。</x:v>
      </x:c>
      <x:c r="H79" s="28" t="str">
        <x:v>完整年度、行业口径；不能直接推为退役量。</x:v>
      </x:c>
      <x:c r="I79" s="28" t="str">
        <x:v>官方全文；新能源汽车及汽车总量段落</x:v>
      </x:c>
      <x:c r="J79" s="28" t="str">
        <x:v>统计口径／全文研究按原文核验</x:v>
      </x:c>
      <x:c r="K79" s="28" t="str">
        <x:v>1.1；图3</x:v>
      </x:c>
      <x:c r="L79" s="28" t="str">
        <x:v>https://www.miit.gov.cn/gxsj/tjfx/zbgy/qc/art/2021/art_80a68716879e4180a0dea39183b546cf.html</x:v>
      </x:c>
      <x:c r="M79" s="28" t="str"/>
      <x:c r="N79" s="28" t="str">
        <x:v>工业和信息化部装备工业一司．2020年12月汽车工业经济运行情况[EB/OL]．(2021-01-14)[2026-10-20]．</x:v>
      </x:c>
      <x:c r="O79" s="29" t="d">
        <x:v>2026-10-20T00:00:00.000Z</x:v>
      </x:c>
    </x:row>
    <x:row r="80" ht="64" customHeight="1">
      <x:c r="A80" s="28" t="str">
        <x:v>D05</x:v>
      </x:c>
      <x:c r="B80" s="28" t="n">
        <x:v>4</x:v>
      </x:c>
      <x:c r="C80" s="28" t="str">
        <x:v>行业数据</x:v>
      </x:c>
      <x:c r="D80" s="28" t="n">
        <x:v>2022</x:v>
      </x:c>
      <x:c r="E80" s="28" t="str">
        <x:v>国际科技创新中心网络服务平台（转载工信微报实录）</x:v>
      </x:c>
      <x:c r="F80" s="28" t="str">
        <x:v>工信部举行2021年汽车工业发展情况新闻发布会（附实录）</x:v>
      </x:c>
      <x:c r="G80" s="28" t="str">
        <x:v>2020—2022年新能源汽车产销及占比，用于扩展图3。</x:v>
      </x:c>
      <x:c r="H80" s="28" t="str">
        <x:v>完整年度、行业口径；不能直接推为退役量。</x:v>
      </x:c>
      <x:c r="I80" s="28" t="str">
        <x:v>政府平台完整发布会实录；第4项新能源汽车数据</x:v>
      </x:c>
      <x:c r="J80" s="28" t="str">
        <x:v>统计口径／全文研究按原文核验</x:v>
      </x:c>
      <x:c r="K80" s="28" t="str">
        <x:v>1.1；图3</x:v>
      </x:c>
      <x:c r="L80" s="28" t="str">
        <x:v>https://www.ncsti.gov.cn/kjdt/xwjj/202201/t20220113_55954.html</x:v>
      </x:c>
      <x:c r="M80" s="28" t="str"/>
      <x:c r="N80" s="28" t="str">
        <x:v>国际科技创新中心网络服务平台（转载工信微报实录）．工信部举行2021年汽车工业发展情况新闻发布会（附实录）[EB/OL]．(2022-01-13)[2026-10-20]．</x:v>
      </x:c>
      <x:c r="O80" s="29" t="d">
        <x:v>2026-10-20T00:00:00.000Z</x:v>
      </x:c>
    </x:row>
    <x:row r="81" ht="64" customHeight="1">
      <x:c r="A81" s="28" t="str">
        <x:v>D06</x:v>
      </x:c>
      <x:c r="B81" s="28" t="n">
        <x:v>5</x:v>
      </x:c>
      <x:c r="C81" s="28" t="str">
        <x:v>行业数据</x:v>
      </x:c>
      <x:c r="D81" s="28" t="n">
        <x:v>2023</x:v>
      </x:c>
      <x:c r="E81" s="28" t="str">
        <x:v>福建省工业和信息化厅（转载新华社）</x:v>
      </x:c>
      <x:c r="F81" s="28" t="str">
        <x:v>2022年我国汽车销量超2686万辆 新能源汽车销量同比增长93.4%</x:v>
      </x:c>
      <x:c r="G81" s="28" t="str">
        <x:v>2020—2022年新能源汽车产销及占比，用于扩展图3。</x:v>
      </x:c>
      <x:c r="H81" s="28" t="str">
        <x:v>完整年度、行业口径；不能直接推为退役量。</x:v>
      </x:c>
      <x:c r="I81" s="28" t="str">
        <x:v>省级政府转载权威发布；新能源汽车产销与市场份额</x:v>
      </x:c>
      <x:c r="J81" s="28" t="str">
        <x:v>统计口径／全文研究按原文核验</x:v>
      </x:c>
      <x:c r="K81" s="28" t="str">
        <x:v>1.1；图3</x:v>
      </x:c>
      <x:c r="L81" s="28" t="str">
        <x:v>https://gxt.fujian.gov.cn/zwgk/xw/hydt/xydt/202301/t20230113_6093871.htm</x:v>
      </x:c>
      <x:c r="M81" s="28" t="str"/>
      <x:c r="N81" s="28" t="str">
        <x:v>福建省工业和信息化厅（转载新华社）．2022年我国汽车销量超2686万辆 新能源汽车销量同比增长93.4%[EB/OL]．(2023-01-13)[2026-10-20]．</x:v>
      </x:c>
      <x:c r="O81" s="29" t="d">
        <x:v>2026-10-20T00:00:00.000Z</x:v>
      </x:c>
    </x:row>
    <x:row r="82" ht="64" customHeight="1">
      <x:c r="A82" s="28" t="str">
        <x:v>L21</x:v>
      </x:c>
      <x:c r="B82" s="28" t="n">
        <x:v>17</x:v>
      </x:c>
      <x:c r="C82" s="28" t="str">
        <x:v>研究文献</x:v>
      </x:c>
      <x:c r="D82" s="28" t="n">
        <x:v>2025</x:v>
      </x:c>
      <x:c r="E82" s="28" t="str">
        <x:v>Bräunig G, Hertel D, Thürer M</x:v>
      </x:c>
      <x:c r="F82" s="28" t="str">
        <x:v>Towards recycling excellence: a systematic review of applied lean methods within the disassembly of electric vehicle battery systems</x:v>
      </x:c>
      <x:c r="G82" s="28" t="str">
        <x:v>局部效率改进较多；工艺标准化、自动化和持续改进的系统整合不足</x:v>
      </x:c>
      <x:c r="H82" s="28" t="str">
        <x:v>检索截至2024-12-06，部分研究局限手工或半自动过程；不提供我国网点入库率或贮存期限</x:v>
      </x:c>
      <x:c r="I82" s="28" t="str">
        <x:v>出版商开放全文；方法、结果、结论、表2—4及原图署名</x:v>
      </x:c>
      <x:c r="J82" s="28" t="str">
        <x:v>统计口径／全文研究按原文核验</x:v>
      </x:c>
      <x:c r="K82" s="28" t="str">
        <x:v>2.1；4.4.2—4.4.3</x:v>
      </x:c>
      <x:c r="L82" s="28" t="str">
        <x:v>https://doi.org/10.1007/s10163-025-02368-4</x:v>
      </x:c>
      <x:c r="M82" s="28" t="str">
        <x:v>10.1007/s10163-025-02368-4</x:v>
      </x:c>
      <x:c r="N82" s="28" t="str">
        <x:v>Bräunig G, Hertel D, Thürer M．Towards recycling excellence: a systematic review of applied lean methods within the disassembly of electric vehicle battery systems[J]．Journal of Material Cycles and Waste Management, 2025, 27: 4127–4142．</x:v>
      </x:c>
      <x:c r="O82" s="29" t="d">
        <x:v>2026-10-20T00:00:00.000Z</x:v>
      </x:c>
    </x:row>
    <x:row r="83" ht="64" customHeight="1">
      <x:c r="A83" s="28" t="str">
        <x:v>L22</x:v>
      </x:c>
      <x:c r="B83" s="28" t="n">
        <x:v>18</x:v>
      </x:c>
      <x:c r="C83" s="28" t="str">
        <x:v>研究文献</x:v>
      </x:c>
      <x:c r="D83" s="28" t="n">
        <x:v>2025</x:v>
      </x:c>
      <x:c r="E83" s="28" t="str">
        <x:v>Anticoi H, Garcia L, Dan G, Sola P, Dorado A D</x:v>
      </x:c>
      <x:c r="F83" s="28" t="str">
        <x:v>Methodology for evaluation of lithium-ion black-mass battery recycling</x:v>
      </x:c>
      <x:c r="G83" s="28" t="str">
        <x:v>粒级及流股组成不同，互补分析有助于建立处理效率与目标成分的计量基础</x:v>
      </x:c>
      <x:c r="H83" s="28" t="str">
        <x:v>研究对象是特定滑板车破碎料；不是我国新能源汽车总体样本，不构成实际社会回收率</x:v>
      </x:c>
      <x:c r="I83" s="28" t="str">
        <x:v>出版商开放全文；物料表征、粒级/流股计量、结论与Fig.9原图</x:v>
      </x:c>
      <x:c r="J83" s="28" t="str">
        <x:v>统计口径／全文研究按原文核验</x:v>
      </x:c>
      <x:c r="K83" s="28" t="str">
        <x:v>2.1；4.4.2—4.4.3</x:v>
      </x:c>
      <x:c r="L83" s="28" t="str">
        <x:v>https://doi.org/10.1007/s10163-025-02159-x</x:v>
      </x:c>
      <x:c r="M83" s="28" t="str">
        <x:v>10.1007/s10163-025-02159-x</x:v>
      </x:c>
      <x:c r="N83" s="28" t="str">
        <x:v>Anticoi H, Garcia L, Dan G, Sola P, Dorado A D．Methodology for evaluation of lithium-ion black-mass battery recycling[J]．Journal of Material Cycles and Waste Management, 2025, 27: 1019–1033．</x:v>
      </x:c>
      <x:c r="O83" s="29" t="d">
        <x:v>2026-10-20T00:00:00.000Z</x:v>
      </x:c>
    </x:row>
  </x:sheetData>
  <x:pageMargins left="0.7" right="0.7" top="0.75" bottom="0.75" header="0.3" footer="0.3"/>
  <x:tableParts count="1">
    <x:tablePart xmlns:r="http://schemas.openxmlformats.org/officeDocument/2006/relationships" r:id="Rb602051f4cc34496"/>
  </x:tableParts>
</x:worksheet>
</file>

<file path=xl/worksheets/sheet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0" hidden="0" customWidth="1"/>
    <x:col min="2" max="2" width="10" hidden="0" customWidth="1"/>
    <x:col min="3" max="3" width="22" hidden="0" customWidth="1"/>
    <x:col min="4" max="4" width="35" hidden="0" customWidth="1"/>
    <x:col min="5" max="5" width="57" hidden="0" customWidth="1"/>
    <x:col min="6" max="6" width="53" hidden="0" customWidth="1"/>
    <x:col min="7" max="7" width="48" hidden="0" customWidth="1"/>
    <x:col min="8" max="8" width="58" hidden="0" customWidth="1"/>
    <x:col min="9" max="9" width="16" hidden="0" customWidth="1"/>
  </x:cols>
  <x:sheetData>
    <x:row r="1" ht="32" customHeight="1">
      <x:c r="A1" s="5" t="str">
        <x:v>条目ID</x:v>
      </x:c>
      <x:c r="B1" s="5" t="str">
        <x:v>来源ID</x:v>
      </x:c>
      <x:c r="C1" s="5" t="str">
        <x:v>条款定位</x:v>
      </x:c>
      <x:c r="D1" s="5" t="str">
        <x:v>义务主体</x:v>
      </x:c>
      <x:c r="E1" s="5" t="str">
        <x:v>依据摘要</x:v>
      </x:c>
      <x:c r="F1" s="5" t="str">
        <x:v>触发或适用条件</x:v>
      </x:c>
      <x:c r="G1" s="5" t="str">
        <x:v>信息与执行内容</x:v>
      </x:c>
      <x:c r="H1" s="5" t="str">
        <x:v>分析边界</x:v>
      </x:c>
      <x:c r="I1" s="5" t="str">
        <x:v>正文位置</x:v>
      </x:c>
    </x:row>
    <x:row r="2" ht="54" customHeight="1">
      <x:c r="A2" s="7" t="str">
        <x:v>C01</x:v>
      </x:c>
      <x:c r="B2" s="7" t="str">
        <x:v>P09</x:v>
      </x:c>
      <x:c r="C2" s="7" t="str">
        <x:v>第4条</x:v>
      </x:c>
      <x:c r="D2" s="7" t="str">
        <x:v>平台及相关主体</x:v>
      </x:c>
      <x:c r="E2" s="7" t="str">
        <x:v>全生命周期流向追溯</x:v>
      </x:c>
      <x:c r="F2" s="7" t="str">
        <x:v>生产至综合利用各环节</x:v>
      </x:c>
      <x:c r="G2" s="7" t="str">
        <x:v>事件与流向信息</x:v>
      </x:c>
      <x:c r="H2" s="7" t="str">
        <x:v>制度覆盖不代表实际全覆盖</x:v>
      </x:c>
      <x:c r="I2" s="7" t="str">
        <x:v>4.1.2</x:v>
      </x:c>
    </x:row>
    <x:row r="3" ht="54" customHeight="1">
      <x:c r="A3" s="7" t="str">
        <x:v>C02</x:v>
      </x:c>
      <x:c r="B3" s="7" t="str">
        <x:v>P09</x:v>
      </x:c>
      <x:c r="C3" s="7" t="str">
        <x:v>第8、13条</x:v>
      </x:c>
      <x:c r="D3" s="7" t="str">
        <x:v>电池、汽车生产企业</x:v>
      </x:c>
      <x:c r="E3" s="7" t="str">
        <x:v>易拆解设计与必要维修技术信息</x:v>
      </x:c>
      <x:c r="F3" s="7" t="str">
        <x:v>产品设计与维修拆卸</x:v>
      </x:c>
      <x:c r="G3" s="7" t="str">
        <x:v>结构与技术资料</x:v>
      </x:c>
      <x:c r="H3" s="7" t="str">
        <x:v>信息可用性需与工程条件匹配</x:v>
      </x:c>
      <x:c r="I3" s="7" t="str">
        <x:v>2.1；5.2</x:v>
      </x:c>
    </x:row>
    <x:row r="4" ht="54" customHeight="1">
      <x:c r="A4" s="7" t="str">
        <x:v>C03</x:v>
      </x:c>
      <x:c r="B4" s="7" t="str">
        <x:v>P09</x:v>
      </x:c>
      <x:c r="C4" s="7" t="str">
        <x:v>第9—11条</x:v>
      </x:c>
      <x:c r="D4" s="7" t="str">
        <x:v>电池企业</x:v>
      </x:c>
      <x:c r="E4" s="7" t="str">
        <x:v>编码、标识及提供必要拆解技术信息</x:v>
      </x:c>
      <x:c r="F4" s="7" t="str">
        <x:v>生产或进口并在境内销售使用</x:v>
      </x:c>
      <x:c r="G4" s="7" t="str">
        <x:v>唯一编码与拆解资料</x:v>
      </x:c>
      <x:c r="H4" s="7" t="str">
        <x:v>原始信息准确不能仅由防篡改技术保证</x:v>
      </x:c>
      <x:c r="I4" s="7" t="str">
        <x:v>4.1.2</x:v>
      </x:c>
    </x:row>
    <x:row r="5" ht="54" customHeight="1">
      <x:c r="A5" s="7" t="str">
        <x:v>C04</x:v>
      </x:c>
      <x:c r="B5" s="7" t="str">
        <x:v>P09</x:v>
      </x:c>
      <x:c r="C5" s="7" t="str">
        <x:v>第12条</x:v>
      </x:c>
      <x:c r="D5" s="7" t="str">
        <x:v>数字身份证制度及有关企业</x:v>
      </x:c>
      <x:c r="E5" s="7" t="str">
        <x:v>类别、构成、报废回收等必要信息</x:v>
      </x:c>
      <x:c r="F5" s="7" t="str">
        <x:v>按具体办法落实</x:v>
      </x:c>
      <x:c r="G5" s="7" t="str">
        <x:v>具体字段规范另行规定</x:v>
      </x:c>
      <x:c r="H5" s="7" t="str">
        <x:v>不能推断全部技术细则已经落地</x:v>
      </x:c>
      <x:c r="I5" s="7" t="str">
        <x:v>4.1.2</x:v>
      </x:c>
    </x:row>
    <x:row r="6" ht="54" customHeight="1">
      <x:c r="A6" s="7" t="str">
        <x:v>C05</x:v>
      </x:c>
      <x:c r="B6" s="7" t="str">
        <x:v>P09</x:v>
      </x:c>
      <x:c r="C6" s="7" t="str">
        <x:v>第14条</x:v>
      </x:c>
      <x:c r="D6" s="7" t="str">
        <x:v>电池企业</x:v>
      </x:c>
      <x:c r="E6" s="7" t="str">
        <x:v>承担相应回收责任、设网点并公开信息</x:v>
      </x:c>
      <x:c r="F6" s="7" t="str">
        <x:v>交售给汽车生产企业的电池除外</x:v>
      </x:c>
      <x:c r="G6" s="7" t="str">
        <x:v>省级销售区域网点信息</x:v>
      </x:c>
      <x:c r="H6" s="7" t="str">
        <x:v>不得遗漏适用例外</x:v>
      </x:c>
      <x:c r="I6" s="7" t="str">
        <x:v>4.1.1</x:v>
      </x:c>
    </x:row>
    <x:row r="7" ht="54" customHeight="1">
      <x:c r="A7" s="7" t="str">
        <x:v>C06</x:v>
      </x:c>
      <x:c r="B7" s="7" t="str">
        <x:v>P09</x:v>
      </x:c>
      <x:c r="C7" s="7" t="str">
        <x:v>第15条</x:v>
      </x:c>
      <x:c r="D7" s="7" t="str">
        <x:v>汽车生产企业</x:v>
      </x:c>
      <x:c r="E7" s="7" t="str">
        <x:v>装车电池回收责任、网点、流程告知</x:v>
      </x:c>
      <x:c r="F7" s="7" t="str">
        <x:v>装车并境内销售使用</x:v>
      </x:c>
      <x:c r="G7" s="7" t="str">
        <x:v>地市级销售区域网点及流程</x:v>
      </x:c>
      <x:c r="H7" s="7" t="str">
        <x:v>不得将电池企业、车企区域要求混同</x:v>
      </x:c>
      <x:c r="I7" s="7" t="str">
        <x:v>4.1.1</x:v>
      </x:c>
    </x:row>
    <x:row r="8" ht="54" customHeight="1">
      <x:c r="A8" s="7" t="str">
        <x:v>C07</x:v>
      </x:c>
      <x:c r="B8" s="7" t="str">
        <x:v>P09</x:v>
      </x:c>
      <x:c r="C8" s="7" t="str">
        <x:v>第16条</x:v>
      </x:c>
      <x:c r="D8" s="7" t="str">
        <x:v>回收服务网点及生产者</x:v>
      </x:c>
      <x:c r="E8" s="7" t="str">
        <x:v>满足规划、安全、环保等法定要求</x:v>
      </x:c>
      <x:c r="F8" s="7" t="str">
        <x:v>网点建设和作业</x:v>
      </x:c>
      <x:c r="G8" s="7" t="str">
        <x:v>鼓励采用GB/T 38698.2</x:v>
      </x:c>
      <x:c r="H8" s="7" t="str">
        <x:v>推荐采用与法定义务分开表述</x:v>
      </x:c>
      <x:c r="I8" s="7" t="str">
        <x:v>4.1.1</x:v>
      </x:c>
    </x:row>
    <x:row r="9" ht="54" customHeight="1">
      <x:c r="A9" s="7" t="str">
        <x:v>C08</x:v>
      </x:c>
      <x:c r="B9" s="7" t="str">
        <x:v>P09</x:v>
      </x:c>
      <x:c r="C9" s="7" t="str">
        <x:v>第17条</x:v>
      </x:c>
      <x:c r="D9" s="7" t="str">
        <x:v>分立、合并或终止的生产者</x:v>
      </x:c>
      <x:c r="E9" s="7" t="str">
        <x:v>接续责任或提前妥善安排</x:v>
      </x:c>
      <x:c r="F9" s="7" t="str">
        <x:v>企业组织或存续状态改变</x:v>
      </x:c>
      <x:c r="G9" s="7" t="str">
        <x:v>责任承接安排</x:v>
      </x:c>
      <x:c r="H9" s="7" t="str">
        <x:v>不得以企业终止推断责任自然消失</x:v>
      </x:c>
      <x:c r="I9" s="7" t="str">
        <x:v>4.1.1</x:v>
      </x:c>
    </x:row>
    <x:row r="10" ht="54" customHeight="1">
      <x:c r="A10" s="7" t="str">
        <x:v>C09</x:v>
      </x:c>
      <x:c r="B10" s="7" t="str">
        <x:v>P09</x:v>
      </x:c>
      <x:c r="C10" s="7" t="str">
        <x:v>第18条</x:v>
      </x:c>
      <x:c r="D10" s="7" t="str">
        <x:v>综合利用主体</x:v>
      </x:c>
      <x:c r="E10" s="7" t="str">
        <x:v>投资手续、环评、配套设施、排污许可或登记等</x:v>
      </x:c>
      <x:c r="F10" s="7" t="str">
        <x:v>从事综合利用</x:v>
      </x:c>
      <x:c r="G10" s="7" t="str">
        <x:v>有关法定手续</x:v>
      </x:c>
      <x:c r="H10" s="7" t="str">
        <x:v>规范公告名单不是全部许可的替代物</x:v>
      </x:c>
      <x:c r="I10" s="7" t="str">
        <x:v>4.1.1</x:v>
      </x:c>
    </x:row>
    <x:row r="11" ht="54" customHeight="1">
      <x:c r="A11" s="7" t="str">
        <x:v>C10</x:v>
      </x:c>
      <x:c r="B11" s="7" t="str">
        <x:v>P09</x:v>
      </x:c>
      <x:c r="C11" s="7" t="str">
        <x:v>第19条</x:v>
      </x:c>
      <x:c r="D11" s="7" t="str">
        <x:v>电池、汽车生产企业</x:v>
      </x:c>
      <x:c r="E11" s="7" t="str">
        <x:v>交依法设立的综合利用企业或具备条件自行利用</x:v>
      </x:c>
      <x:c r="F11" s="7" t="str">
        <x:v>回收后交付</x:v>
      </x:c>
      <x:c r="G11" s="7" t="str">
        <x:v>去向及条件证明</x:v>
      </x:c>
      <x:c r="H11" s="7" t="str">
        <x:v>不能把单一商业渠道视为唯一合法路径</x:v>
      </x:c>
      <x:c r="I11" s="7" t="str">
        <x:v>4.1.1</x:v>
      </x:c>
    </x:row>
    <x:row r="12" ht="54" customHeight="1">
      <x:c r="A12" s="7" t="str">
        <x:v>C11</x:v>
      </x:c>
      <x:c r="B12" s="7" t="str">
        <x:v>P09</x:v>
      </x:c>
      <x:c r="C12" s="7" t="str">
        <x:v>第20条</x:v>
      </x:c>
      <x:c r="D12" s="7" t="str">
        <x:v>换电、维修、报废机动车拆解企业</x:v>
      </x:c>
      <x:c r="E12" s="7" t="str">
        <x:v>交综合利用企业或依法设立的回收网点</x:v>
      </x:c>
      <x:c r="F12" s="7" t="str">
        <x:v>拆卸废旧电池</x:v>
      </x:c>
      <x:c r="G12" s="7" t="str">
        <x:v>合法去向</x:v>
      </x:c>
      <x:c r="H12" s="7" t="str">
        <x:v>允许路径与实际选择比例不同</x:v>
      </x:c>
      <x:c r="I12" s="7" t="str">
        <x:v>4.1.1；图7</x:v>
      </x:c>
    </x:row>
    <x:row r="13" ht="54" customHeight="1">
      <x:c r="A13" s="7" t="str">
        <x:v>C12</x:v>
      </x:c>
      <x:c r="B13" s="7" t="str">
        <x:v>P09</x:v>
      </x:c>
      <x:c r="C13" s="7" t="str">
        <x:v>第21条</x:v>
      </x:c>
      <x:c r="D13" s="7" t="str">
        <x:v>报废机动车回收拆解企业</x:v>
      </x:c>
      <x:c r="E13" s="7" t="str">
        <x:v>废旧新能源车缺电池按车辆缺失认定</x:v>
      </x:c>
      <x:c r="F13" s="7" t="str">
        <x:v>报废车辆动力电池缺失</x:v>
      </x:c>
      <x:c r="G13" s="7" t="str">
        <x:v>具体办法另行规定</x:v>
      </x:c>
      <x:c r="H13" s="7" t="str">
        <x:v>不编造细则、扣款或认定流程</x:v>
      </x:c>
      <x:c r="I13" s="7" t="str">
        <x:v>4.1.1背景</x:v>
      </x:c>
    </x:row>
    <x:row r="14" ht="54" customHeight="1">
      <x:c r="A14" s="7" t="str">
        <x:v>C13</x:v>
      </x:c>
      <x:c r="B14" s="7" t="str">
        <x:v>P09</x:v>
      </x:c>
      <x:c r="C14" s="7" t="str">
        <x:v>第22条</x:v>
      </x:c>
      <x:c r="D14" s="7" t="str">
        <x:v>任何组织或个人</x:v>
      </x:c>
      <x:c r="E14" s="7" t="str">
        <x:v>不得直接或加工后用于电动自行车等禁止领域</x:v>
      </x:c>
      <x:c r="F14" s="7" t="str">
        <x:v>废旧动力电池用途</x:v>
      </x:c>
      <x:c r="G14" s="7" t="str">
        <x:v>产品去向</x:v>
      </x:c>
      <x:c r="H14" s="7" t="str">
        <x:v>禁止范围以法规及强制性标准为准</x:v>
      </x:c>
      <x:c r="I14" s="7" t="str">
        <x:v>3；5</x:v>
      </x:c>
    </x:row>
    <x:row r="15" ht="54" customHeight="1">
      <x:c r="A15" s="7" t="str">
        <x:v>C14</x:v>
      </x:c>
      <x:c r="B15" s="7" t="str">
        <x:v>P09</x:v>
      </x:c>
      <x:c r="C15" s="7" t="str">
        <x:v>第24条、第46条</x:v>
      </x:c>
      <x:c r="D15" s="7" t="str">
        <x:v>相关报送主体</x:v>
      </x:c>
      <x:c r="E15" s="7" t="str">
        <x:v>按主体、事件、对象与期限报送</x:v>
      </x:c>
      <x:c r="F15" s="7" t="str">
        <x:v>见报送期限工作表</x:v>
      </x:c>
      <x:c r="G15" s="7" t="str">
        <x:v>编码、来源、去向等</x:v>
      </x:c>
      <x:c r="H15" s="7" t="str">
        <x:v>日为自然日；不同触发事件不得混算</x:v>
      </x:c>
      <x:c r="I15" s="7" t="str">
        <x:v>4.1.2；图8</x:v>
      </x:c>
    </x:row>
    <x:row r="16" ht="54" customHeight="1">
      <x:c r="A16" s="7" t="str">
        <x:v>C15</x:v>
      </x:c>
      <x:c r="B16" s="7" t="str">
        <x:v>P09</x:v>
      </x:c>
      <x:c r="C16" s="7" t="str">
        <x:v>第25—26条</x:v>
      </x:c>
      <x:c r="D16" s="7" t="str">
        <x:v>平台与查询信息企业</x:v>
      </x:c>
      <x:c r="E16" s="7" t="str">
        <x:v>限定技术信息用途，落实网络与数据安全</x:v>
      </x:c>
      <x:c r="F16" s="7" t="str">
        <x:v>技术资料查询及平台处理</x:v>
      </x:c>
      <x:c r="G16" s="7" t="str">
        <x:v>用途、权限、安全措施</x:v>
      </x:c>
      <x:c r="H16" s="7" t="str">
        <x:v>共享不等于所有信息公开</x:v>
      </x:c>
      <x:c r="I16" s="7" t="str">
        <x:v>4.1.2</x:v>
      </x:c>
    </x:row>
    <x:row r="17" ht="54" customHeight="1">
      <x:c r="A17" s="7" t="str">
        <x:v>C16</x:v>
      </x:c>
      <x:c r="B17" s="7" t="str">
        <x:v>P09</x:v>
      </x:c>
      <x:c r="C17" s="7" t="str">
        <x:v>第27—30条</x:v>
      </x:c>
      <x:c r="D17" s="7" t="str">
        <x:v>县级以上有关监管部门</x:v>
      </x:c>
      <x:c r="E17" s="7" t="str">
        <x:v>依法检查、协作移送与保密</x:v>
      </x:c>
      <x:c r="F17" s="7" t="str">
        <x:v>监督检查与线索处理</x:v>
      </x:c>
      <x:c r="G17" s="7" t="str">
        <x:v>检查和移送记录</x:v>
      </x:c>
      <x:c r="H17" s="7" t="str">
        <x:v>平台预警不等于违法认定</x:v>
      </x:c>
      <x:c r="I17" s="7" t="str">
        <x:v>4.1.4；5.1</x:v>
      </x:c>
    </x:row>
    <x:row r="18" ht="54" customHeight="1">
      <x:c r="A18" s="7" t="str">
        <x:v>C17</x:v>
      </x:c>
      <x:c r="B18" s="7" t="str">
        <x:v>P09</x:v>
      </x:c>
      <x:c r="C18" s="7" t="str">
        <x:v>第32、36、39条</x:v>
      </x:c>
      <x:c r="D18" s="7" t="str">
        <x:v>有关违法主体及监管部门</x:v>
      </x:c>
      <x:c r="E18" s="7" t="str">
        <x:v>对应编码、责任、交售与信息违法行为处理</x:v>
      </x:c>
      <x:c r="F18" s="7" t="str">
        <x:v>具体条款成立且满足处罚条件</x:v>
      </x:c>
      <x:c r="G18" s="7" t="str">
        <x:v>违法事实、整改及处理</x:v>
      </x:c>
      <x:c r="H18" s="7" t="str">
        <x:v>不得将全部逾期报送简单写成一律同额处罚</x:v>
      </x:c>
      <x:c r="I18" s="7" t="str">
        <x:v>4；5</x:v>
      </x:c>
    </x:row>
    <x:row r="19" ht="54" customHeight="1">
      <x:c r="A19" s="7" t="str">
        <x:v>C18</x:v>
      </x:c>
      <x:c r="B19" s="7" t="str">
        <x:v>P09</x:v>
      </x:c>
      <x:c r="C19" s="7" t="str">
        <x:v>第42条</x:v>
      </x:c>
      <x:c r="D19" s="7" t="str">
        <x:v>综合利用企业</x:v>
      </x:c>
      <x:c r="E19" s="7" t="str">
        <x:v>行政处罚与行业规范公告管理衔接</x:v>
      </x:c>
      <x:c r="F19" s="7" t="str">
        <x:v>受有关行政机关行政处罚</x:v>
      </x:c>
      <x:c r="G19" s="7" t="str">
        <x:v>名单申报与撤销安排</x:v>
      </x:c>
      <x:c r="H19" s="7" t="str">
        <x:v>反向证明名单管理不同于所有经营手续</x:v>
      </x:c>
      <x:c r="I19" s="7" t="str">
        <x:v>4.1.1</x:v>
      </x:c>
    </x:row>
    <x:row r="20" ht="54" customHeight="1">
      <x:c r="A20" s="7" t="str">
        <x:v>C19</x:v>
      </x:c>
      <x:c r="B20" s="7" t="str">
        <x:v>P09</x:v>
      </x:c>
      <x:c r="C20" s="7" t="str">
        <x:v>第45条、第49条</x:v>
      </x:c>
      <x:c r="D20" s="7" t="str">
        <x:v>适用对象</x:v>
      </x:c>
      <x:c r="E20" s="7" t="str">
        <x:v>界定废旧动力电池、综合利用及排除情形</x:v>
      </x:c>
      <x:c r="F20" s="7" t="str">
        <x:v>报废且失去原有使用价值等</x:v>
      </x:c>
      <x:c r="G20" s="7" t="str">
        <x:v>资源化处理活动</x:v>
      </x:c>
      <x:c r="H20" s="7" t="str">
        <x:v>废旧铅酸动力电池等危险废物管理不适用本办法</x:v>
      </x:c>
      <x:c r="I20" s="7" t="str">
        <x:v>3.2</x:v>
      </x:c>
    </x:row>
    <x:row r="21" ht="54" customHeight="1">
      <x:c r="A21" s="7" t="str">
        <x:v>C20</x:v>
      </x:c>
      <x:c r="B21" s="7" t="str">
        <x:v>P09</x:v>
      </x:c>
      <x:c r="C21" s="7" t="str">
        <x:v>第48、50条</x:v>
      </x:c>
      <x:c r="D21" s="7" t="str">
        <x:v>新旧制度衔接主体</x:v>
      </x:c>
      <x:c r="E21" s="7" t="str">
        <x:v>存量车型补报技术信息及旧文件废止</x:v>
      </x:c>
      <x:c r="F21" s="7" t="str">
        <x:v>施行前仍在生产销售的适用车型</x:v>
      </x:c>
      <x:c r="G21" s="7" t="str">
        <x:v>6个月补报；四项文件废止</x:v>
      </x:c>
      <x:c r="H21" s="7" t="str">
        <x:v>成文、公开、施行日期分别记录</x:v>
      </x:c>
      <x:c r="I21" s="7" t="str">
        <x:v>3</x:v>
      </x:c>
    </x:row>
    <x:row r="22" ht="54" customHeight="1">
      <x:c r="A22" s="7" t="str">
        <x:v>C21</x:v>
      </x:c>
      <x:c r="B22" s="7" t="str">
        <x:v>P12</x:v>
      </x:c>
      <x:c r="C22" s="7" t="str">
        <x:v>专项任务与职责分工</x:v>
      </x:c>
      <x:c r="D22" s="7" t="str">
        <x:v>工信、生态环境、交通运输、商务、市场监管</x:v>
      </x:c>
      <x:c r="E22" s="7" t="str">
        <x:v>检查交售、质量、溯源、环保与无照经营</x:v>
      </x:c>
      <x:c r="F22" s="7" t="str">
        <x:v>2026年4—6月专项行动</x:v>
      </x:c>
      <x:c r="G22" s="7" t="str">
        <x:v>依法核查与处理线索</x:v>
      </x:c>
      <x:c r="H22" s="7" t="str">
        <x:v>通知是任务证据，不是成效统计</x:v>
      </x:c>
      <x:c r="I22" s="7" t="str">
        <x:v>4.1.4；5</x:v>
      </x:c>
    </x:row>
    <x:row r="23" ht="54" customHeight="1">
      <x:c r="A23" s="7" t="str">
        <x:v>C22</x:v>
      </x:c>
      <x:c r="B23" s="7" t="str">
        <x:v>P14</x:v>
      </x:c>
      <x:c r="C23" s="7" t="str">
        <x:v>第1—5项</x:v>
      </x:c>
      <x:c r="D23" s="7" t="str">
        <x:v>企业、主管部门、标准化组织及相关团体</x:v>
      </x:c>
      <x:c r="E23" s="7" t="str">
        <x:v>梯次利用条款与公告管理、标准及相关活动调整</x:v>
      </x:c>
      <x:c r="F23" s="7" t="str">
        <x:v>2026-07-30公告后</x:v>
      </x:c>
      <x:c r="G23" s="7" t="str">
        <x:v>再生利用企业名单继续有效</x:v>
      </x:c>
      <x:c r="H23" s="7" t="str">
        <x:v>不能沿用旧梯次利用管理结论；禁止用途另核</x:v>
      </x:c>
      <x:c r="I23" s="7" t="str">
        <x:v>3；5；6</x:v>
      </x:c>
    </x:row>
    <x:row r="24" ht="54" customHeight="1">
      <x:c r="A24" s="7" t="str">
        <x:v>C23</x:v>
      </x:c>
      <x:c r="B24" s="7" t="str">
        <x:v>S01</x:v>
      </x:c>
      <x:c r="C24" s="7" t="str">
        <x:v>标准范围及实施日期</x:v>
      </x:c>
      <x:c r="D24" s="7" t="str">
        <x:v>废锂离子动力蓄电池处理主体</x:v>
      </x:c>
      <x:c r="E24" s="7" t="str">
        <x:v>污染控制及运行环境管理</x:v>
      </x:c>
      <x:c r="F24" s="7" t="str">
        <x:v>处理过程</x:v>
      </x:c>
      <x:c r="G24" s="7" t="str">
        <x:v>相关环境管理要求</x:v>
      </x:c>
      <x:c r="H24" s="7" t="str">
        <x:v>仅记录已核验范围，不冒充全文条款分析</x:v>
      </x:c>
      <x:c r="I24" s="7" t="str">
        <x:v>4.1.4</x:v>
      </x:c>
    </x:row>
    <x:row r="25" ht="54" customHeight="1">
      <x:c r="A25" s="7" t="str">
        <x:v>C24</x:v>
      </x:c>
      <x:c r="B25" s="7" t="str">
        <x:v>I01</x:v>
      </x:c>
      <x:c r="C25" s="7" t="str">
        <x:v>第77条</x:v>
      </x:c>
      <x:c r="D25" s="7" t="str">
        <x:v>投放市场或投入使用的适用电池及相关经营者</x:v>
      </x:c>
      <x:c r="E25" s="7" t="str">
        <x:v>电池护照电子记录</x:v>
      </x:c>
      <x:c r="F25" s="7" t="str">
        <x:v>2027-02-18起；限定电池类型</x:v>
      </x:c>
      <x:c r="G25" s="7" t="str">
        <x:v>护照与相关信息安排</x:v>
      </x:c>
      <x:c r="H25" s="7" t="str">
        <x:v>检索时尚未到适用日期；不等同中国数字身份证</x:v>
      </x:c>
      <x:c r="I25" s="7" t="str">
        <x:v>4.1.3</x:v>
      </x:c>
    </x:row>
  </x:sheetData>
  <x:pageMargins left="0.7" right="0.7" top="0.75" bottom="0.75" header="0.3" footer="0.3"/>
  <x:tableParts count="1">
    <x:tablePart xmlns:r="http://schemas.openxmlformats.org/officeDocument/2006/relationships" r:id="R4c53ea0a1e79452e"/>
  </x:tableParts>
</x:worksheet>
</file>

<file path=xl/worksheets/sheet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1" hidden="0" customWidth="1"/>
    <x:col min="2" max="2" width="39" hidden="0" customWidth="1"/>
    <x:col min="3" max="3" width="50" hidden="0" customWidth="1"/>
    <x:col min="4" max="4" width="36" hidden="0" customWidth="1"/>
    <x:col min="5" max="5" width="12" hidden="0" customWidth="1"/>
    <x:col min="6" max="6" width="17" hidden="0" customWidth="1"/>
    <x:col min="7" max="7" width="23" hidden="0" customWidth="1"/>
    <x:col min="8" max="8" width="10" hidden="0" customWidth="1"/>
    <x:col min="9" max="9" width="49" hidden="0" customWidth="1"/>
    <x:col min="10" max="10" width="52" hidden="0" customWidth="1"/>
  </x:cols>
  <x:sheetData>
    <x:row r="1" ht="32" customHeight="1">
      <x:c r="A1" s="5" t="str">
        <x:v>事件ID</x:v>
      </x:c>
      <x:c r="B1" s="5" t="str">
        <x:v>主体及报送方向</x:v>
      </x:c>
      <x:c r="C1" s="5" t="str">
        <x:v>触发事件</x:v>
      </x:c>
      <x:c r="D1" s="5" t="str">
        <x:v>报送内容</x:v>
      </x:c>
      <x:c r="E1" s="5" t="str">
        <x:v>期限数值</x:v>
      </x:c>
      <x:c r="F1" s="5" t="str">
        <x:v>期限单位</x:v>
      </x:c>
      <x:c r="G1" s="5" t="str">
        <x:v>条款定位</x:v>
      </x:c>
      <x:c r="H1" s="5" t="str">
        <x:v>来源ID</x:v>
      </x:c>
      <x:c r="I1" s="5" t="str">
        <x:v>起算或统计规则</x:v>
      </x:c>
      <x:c r="J1" s="5" t="str">
        <x:v>特别说明</x:v>
      </x:c>
    </x:row>
    <x:row r="2" ht="54" customHeight="1">
      <x:c r="A2" s="7" t="str">
        <x:v>T01</x:v>
      </x:c>
      <x:c r="B2" s="7" t="str">
        <x:v>汽车生产企业</x:v>
      </x:c>
      <x:c r="C2" s="7" t="str">
        <x:v>出厂合格证配发或通关检验</x:v>
      </x:c>
      <x:c r="D2" s="7" t="str">
        <x:v>车辆与电池编码</x:v>
      </x:c>
      <x:c r="E2" s="8" t="n">
        <x:v>20</x:v>
      </x:c>
      <x:c r="F2" s="7" t="str">
        <x:v>自然日</x:v>
      </x:c>
      <x:c r="G2" s="7" t="str">
        <x:v>第24条第2项</x:v>
      </x:c>
      <x:c r="H2" s="7" t="str">
        <x:v>P09</x:v>
      </x:c>
      <x:c r="I2" s="7" t="str">
        <x:v>对应事件发生后</x:v>
      </x:c>
      <x:c r="J2" s="7" t="str">
        <x:v>已核对条文</x:v>
      </x:c>
    </x:row>
    <x:row r="3" ht="54" customHeight="1">
      <x:c r="A3" s="7" t="str">
        <x:v>T02</x:v>
      </x:c>
      <x:c r="B3" s="7" t="str">
        <x:v>汽车生产企业</x:v>
      </x:c>
      <x:c r="C3" s="7" t="str">
        <x:v>车辆销售上牌</x:v>
      </x:c>
      <x:c r="D3" s="7" t="str">
        <x:v>销售日期等</x:v>
      </x:c>
      <x:c r="E3" s="8" t="n">
        <x:v>40</x:v>
      </x:c>
      <x:c r="F3" s="7" t="str">
        <x:v>自然日</x:v>
      </x:c>
      <x:c r="G3" s="7" t="str">
        <x:v>第24条第2项</x:v>
      </x:c>
      <x:c r="H3" s="7" t="str">
        <x:v>P09</x:v>
      </x:c>
      <x:c r="I3" s="7" t="str">
        <x:v>对应事件发生后</x:v>
      </x:c>
      <x:c r="J3" s="7" t="str">
        <x:v>已核对条文</x:v>
      </x:c>
    </x:row>
    <x:row r="4" ht="54" customHeight="1">
      <x:c r="A4" s="7" t="str">
        <x:v>T03</x:v>
      </x:c>
      <x:c r="B4" s="7" t="str">
        <x:v>合作维修企业→车企</x:v>
      </x:c>
      <x:c r="C4" s="7" t="str">
        <x:v>电池维修并更换</x:v>
      </x:c>
      <x:c r="D4" s="7" t="str">
        <x:v>更换信息</x:v>
      </x:c>
      <x:c r="E4" s="8" t="n">
        <x:v>15</x:v>
      </x:c>
      <x:c r="F4" s="7" t="str">
        <x:v>自然日</x:v>
      </x:c>
      <x:c r="G4" s="7" t="str">
        <x:v>第24条第5项</x:v>
      </x:c>
      <x:c r="H4" s="7" t="str">
        <x:v>P09</x:v>
      </x:c>
      <x:c r="I4" s="7" t="str">
        <x:v>对应事件发生后</x:v>
      </x:c>
      <x:c r="J4" s="7" t="str">
        <x:v>已核对条文</x:v>
      </x:c>
    </x:row>
    <x:row r="5" ht="54" customHeight="1">
      <x:c r="A5" s="7" t="str">
        <x:v>T04</x:v>
      </x:c>
      <x:c r="B5" s="7" t="str">
        <x:v>车企→平台</x:v>
      </x:c>
      <x:c r="C5" s="7" t="str">
        <x:v>电池更换</x:v>
      </x:c>
      <x:c r="D5" s="7" t="str">
        <x:v>更换信息</x:v>
      </x:c>
      <x:c r="E5" s="8" t="n">
        <x:v>40</x:v>
      </x:c>
      <x:c r="F5" s="7" t="str">
        <x:v>自然日</x:v>
      </x:c>
      <x:c r="G5" s="7" t="str">
        <x:v>第24条第5项</x:v>
      </x:c>
      <x:c r="H5" s="7" t="str">
        <x:v>P09</x:v>
      </x:c>
      <x:c r="I5" s="7" t="str">
        <x:v>对应事件发生后</x:v>
      </x:c>
      <x:c r="J5" s="7" t="str">
        <x:v>已核对条文</x:v>
      </x:c>
    </x:row>
    <x:row r="6" ht="54" customHeight="1">
      <x:c r="A6" s="7" t="str">
        <x:v>T05</x:v>
      </x:c>
      <x:c r="B6" s="7" t="str">
        <x:v>非合作维修企业→平台</x:v>
      </x:c>
      <x:c r="C6" s="7" t="str">
        <x:v>电池维修并更换</x:v>
      </x:c>
      <x:c r="D6" s="7" t="str">
        <x:v>更换信息</x:v>
      </x:c>
      <x:c r="E6" s="8" t="n">
        <x:v>40</x:v>
      </x:c>
      <x:c r="F6" s="7" t="str">
        <x:v>自然日</x:v>
      </x:c>
      <x:c r="G6" s="7" t="str">
        <x:v>第24条第5项</x:v>
      </x:c>
      <x:c r="H6" s="7" t="str">
        <x:v>P09</x:v>
      </x:c>
      <x:c r="I6" s="7" t="str">
        <x:v>对应事件发生后</x:v>
      </x:c>
      <x:c r="J6" s="7" t="str">
        <x:v>已核对条文</x:v>
      </x:c>
    </x:row>
    <x:row r="7" ht="54" customHeight="1">
      <x:c r="A7" s="7" t="str">
        <x:v>T06</x:v>
      </x:c>
      <x:c r="B7" s="7" t="str">
        <x:v>电池企业或车企</x:v>
      </x:c>
      <x:c r="C7" s="7" t="str">
        <x:v>网点设立或变更</x:v>
      </x:c>
      <x:c r="D7" s="7" t="str">
        <x:v>网点信息</x:v>
      </x:c>
      <x:c r="E7" s="8" t="n">
        <x:v>30</x:v>
      </x:c>
      <x:c r="F7" s="7" t="str">
        <x:v>自然日</x:v>
      </x:c>
      <x:c r="G7" s="7" t="str">
        <x:v>第24条第6项</x:v>
      </x:c>
      <x:c r="H7" s="7" t="str">
        <x:v>P09</x:v>
      </x:c>
      <x:c r="I7" s="7" t="str">
        <x:v>对应事件发生后</x:v>
      </x:c>
      <x:c r="J7" s="7" t="str">
        <x:v>已核对条文</x:v>
      </x:c>
    </x:row>
    <x:row r="8" ht="54" customHeight="1">
      <x:c r="A8" s="7" t="str">
        <x:v>T07</x:v>
      </x:c>
      <x:c r="B8" s="7" t="str">
        <x:v>电池企业或车企</x:v>
      </x:c>
      <x:c r="C8" s="7" t="str">
        <x:v>回收废旧动力电池</x:v>
      </x:c>
      <x:c r="D8" s="7" t="str">
        <x:v>入库信息</x:v>
      </x:c>
      <x:c r="E8" s="8" t="n">
        <x:v>15</x:v>
      </x:c>
      <x:c r="F8" s="7" t="str">
        <x:v>自然日</x:v>
      </x:c>
      <x:c r="G8" s="7" t="str">
        <x:v>第24条第6项</x:v>
      </x:c>
      <x:c r="H8" s="7" t="str">
        <x:v>P09</x:v>
      </x:c>
      <x:c r="I8" s="7" t="str">
        <x:v>对应事件发生后</x:v>
      </x:c>
      <x:c r="J8" s="7" t="str">
        <x:v>已核对条文</x:v>
      </x:c>
    </x:row>
    <x:row r="9" ht="54" customHeight="1">
      <x:c r="A9" s="7" t="str">
        <x:v>T08</x:v>
      </x:c>
      <x:c r="B9" s="7" t="str">
        <x:v>电池企业或车企</x:v>
      </x:c>
      <x:c r="C9" s="7" t="str">
        <x:v>相关电池或产品移交出库</x:v>
      </x:c>
      <x:c r="D9" s="7" t="str">
        <x:v>出库信息</x:v>
      </x:c>
      <x:c r="E9" s="8" t="n">
        <x:v>15</x:v>
      </x:c>
      <x:c r="F9" s="7" t="str">
        <x:v>自然日</x:v>
      </x:c>
      <x:c r="G9" s="7" t="str">
        <x:v>第24条第6项</x:v>
      </x:c>
      <x:c r="H9" s="7" t="str">
        <x:v>P09</x:v>
      </x:c>
      <x:c r="I9" s="7" t="str">
        <x:v>对应事件发生后</x:v>
      </x:c>
      <x:c r="J9" s="7" t="str">
        <x:v>已核对条文</x:v>
      </x:c>
    </x:row>
    <x:row r="10" ht="54" customHeight="1">
      <x:c r="A10" s="7" t="str">
        <x:v>T09</x:v>
      </x:c>
      <x:c r="B10" s="7" t="str">
        <x:v>综合利用企业</x:v>
      </x:c>
      <x:c r="C10" s="7" t="str">
        <x:v>接收废旧动力电池</x:v>
      </x:c>
      <x:c r="D10" s="7" t="str">
        <x:v>入库信息</x:v>
      </x:c>
      <x:c r="E10" s="8" t="n">
        <x:v>30</x:v>
      </x:c>
      <x:c r="F10" s="7" t="str">
        <x:v>自然日</x:v>
      </x:c>
      <x:c r="G10" s="7" t="str">
        <x:v>第24条第7项</x:v>
      </x:c>
      <x:c r="H10" s="7" t="str">
        <x:v>P09</x:v>
      </x:c>
      <x:c r="I10" s="7" t="str">
        <x:v>对应事件发生后</x:v>
      </x:c>
      <x:c r="J10" s="7" t="str">
        <x:v>已核对条文</x:v>
      </x:c>
    </x:row>
    <x:row r="11" ht="54" customHeight="1">
      <x:c r="A11" s="7" t="str">
        <x:v>T10</x:v>
      </x:c>
      <x:c r="B11" s="7" t="str">
        <x:v>综合利用企业</x:v>
      </x:c>
      <x:c r="C11" s="7" t="str">
        <x:v>综合利用产品移交出库</x:v>
      </x:c>
      <x:c r="D11" s="7" t="str">
        <x:v>出库信息</x:v>
      </x:c>
      <x:c r="E11" s="8" t="n">
        <x:v>30</x:v>
      </x:c>
      <x:c r="F11" s="7" t="str">
        <x:v>自然日</x:v>
      </x:c>
      <x:c r="G11" s="7" t="str">
        <x:v>第24条第7项</x:v>
      </x:c>
      <x:c r="H11" s="7" t="str">
        <x:v>P09</x:v>
      </x:c>
      <x:c r="I11" s="7" t="str">
        <x:v>对应事件发生后</x:v>
      </x:c>
      <x:c r="J11" s="7" t="str">
        <x:v>已核对条文</x:v>
      </x:c>
    </x:row>
    <x:row r="12" ht="54" customHeight="1">
      <x:c r="A12" s="7" t="str">
        <x:v>T11</x:v>
      </x:c>
      <x:c r="B12" s="7" t="str">
        <x:v>汽车生产或进口销售企业</x:v>
      </x:c>
      <x:c r="C12" s="7" t="str">
        <x:v>取得准入公告或强制性产品认证</x:v>
      </x:c>
      <x:c r="D12" s="7" t="str">
        <x:v>拆卸及必要拆解技术信息</x:v>
      </x:c>
      <x:c r="E12" s="8" t="n">
        <x:v>6</x:v>
      </x:c>
      <x:c r="F12" s="7" t="str">
        <x:v>月</x:v>
      </x:c>
      <x:c r="G12" s="7" t="str">
        <x:v>第24条第1项</x:v>
      </x:c>
      <x:c r="H12" s="7" t="str">
        <x:v>P09</x:v>
      </x:c>
      <x:c r="I12" s="7" t="str">
        <x:v>取得相应资格后</x:v>
      </x:c>
      <x:c r="J12" s="7" t="str">
        <x:v>不能换算成固定180日</x:v>
      </x:c>
    </x:row>
    <x:row r="13" ht="54" customHeight="1">
      <x:c r="A13" s="7" t="str">
        <x:v>T12</x:v>
      </x:c>
      <x:c r="B13" s="7" t="str">
        <x:v>汽车生产企业</x:v>
      </x:c>
      <x:c r="C13" s="7" t="str">
        <x:v>研制、生产、装车废旧电池移交出库</x:v>
      </x:c>
      <x:c r="D13" s="7" t="str">
        <x:v>出库信息</x:v>
      </x:c>
      <x:c r="E13" s="8" t="n">
        <x:v>15</x:v>
      </x:c>
      <x:c r="F13" s="7" t="str">
        <x:v>自然日</x:v>
      </x:c>
      <x:c r="G13" s="7" t="str">
        <x:v>第24条第2项</x:v>
      </x:c>
      <x:c r="H13" s="7" t="str">
        <x:v>P09</x:v>
      </x:c>
      <x:c r="I13" s="7" t="str">
        <x:v>移交出库后</x:v>
      </x:c>
      <x:c r="J13" s="7" t="str">
        <x:v>与回收入库事件区分</x:v>
      </x:c>
    </x:row>
    <x:row r="14" ht="54" customHeight="1">
      <x:c r="A14" s="7" t="str">
        <x:v>T13</x:v>
      </x:c>
      <x:c r="B14" s="7" t="str">
        <x:v>电池企业</x:v>
      </x:c>
      <x:c r="C14" s="7" t="str">
        <x:v>研制、生产、返修废旧电池移交出库</x:v>
      </x:c>
      <x:c r="D14" s="7" t="str">
        <x:v>出库信息</x:v>
      </x:c>
      <x:c r="E14" s="8" t="n">
        <x:v>15</x:v>
      </x:c>
      <x:c r="F14" s="7" t="str">
        <x:v>自然日</x:v>
      </x:c>
      <x:c r="G14" s="7" t="str">
        <x:v>第24条第3项</x:v>
      </x:c>
      <x:c r="H14" s="7" t="str">
        <x:v>P09</x:v>
      </x:c>
      <x:c r="I14" s="7" t="str">
        <x:v>移交出库后</x:v>
      </x:c>
      <x:c r="J14" s="7" t="str">
        <x:v>仅对应适用事件</x:v>
      </x:c>
    </x:row>
    <x:row r="15" ht="54" customHeight="1">
      <x:c r="A15" s="7" t="str">
        <x:v>T14</x:v>
      </x:c>
      <x:c r="B15" s="7" t="str">
        <x:v>换电服务企业</x:v>
      </x:c>
      <x:c r="C15" s="7" t="str">
        <x:v>上月换电型汽车电池末次更换</x:v>
      </x:c>
      <x:c r="D15" s="7" t="str">
        <x:v>末次更换信息</x:v>
      </x:c>
      <x:c r="E15" s="8" t="n">
        <x:v>15</x:v>
      </x:c>
      <x:c r="F15" s="7" t="str">
        <x:v>每月日号</x:v>
      </x:c>
      <x:c r="G15" s="7" t="str">
        <x:v>第24条第4项</x:v>
      </x:c>
      <x:c r="H15" s="7" t="str">
        <x:v>P09</x:v>
      </x:c>
      <x:c r="I15" s="7" t="str">
        <x:v>每月15日前报上月信息</x:v>
      </x:c>
      <x:c r="J15" s="7" t="str">
        <x:v>15是日号，不是事件后15日</x:v>
      </x:c>
    </x:row>
    <x:row r="16" ht="54" customHeight="1">
      <x:c r="A16" s="7" t="str">
        <x:v>T15</x:v>
      </x:c>
      <x:c r="B16" s="7" t="str">
        <x:v>换电服务企业</x:v>
      </x:c>
      <x:c r="C16" s="7" t="str">
        <x:v>换电运营废旧电池移交出库</x:v>
      </x:c>
      <x:c r="D16" s="7" t="str">
        <x:v>出库信息</x:v>
      </x:c>
      <x:c r="E16" s="8" t="n">
        <x:v>15</x:v>
      </x:c>
      <x:c r="F16" s="7" t="str">
        <x:v>自然日</x:v>
      </x:c>
      <x:c r="G16" s="7" t="str">
        <x:v>第24条第4项</x:v>
      </x:c>
      <x:c r="H16" s="7" t="str">
        <x:v>P09</x:v>
      </x:c>
      <x:c r="I16" s="7" t="str">
        <x:v>移交出库后</x:v>
      </x:c>
      <x:c r="J16" s="7" t="str">
        <x:v>与每月末次更换报送分开</x:v>
      </x:c>
    </x:row>
    <x:row r="17" ht="54" customHeight="1">
      <x:c r="A17" s="7" t="str">
        <x:v>T16</x:v>
      </x:c>
      <x:c r="B17" s="7" t="str">
        <x:v>报废机动车回收拆解企业</x:v>
      </x:c>
      <x:c r="C17" s="7" t="str">
        <x:v>车辆报废与废旧电池拆卸出库</x:v>
      </x:c>
      <x:c r="D17" s="7" t="str">
        <x:v>车辆报废及电池出库信息</x:v>
      </x:c>
      <x:c r="E17" s="8"/>
      <x:c r="F17" s="7" t="str">
        <x:v>依相关规定</x:v>
      </x:c>
      <x:c r="G17" s="7" t="str">
        <x:v>第24条第8项</x:v>
      </x:c>
      <x:c r="H17" s="7" t="str">
        <x:v>P09</x:v>
      </x:c>
      <x:c r="I17" s="7" t="str">
        <x:v>按报废机动车回收管理办法实施细则</x:v>
      </x:c>
      <x:c r="J17" s="7" t="str">
        <x:v>本稿不编造具体日数</x:v>
      </x:c>
    </x:row>
    <x:row r="18" ht="54" customHeight="1">
      <x:c r="A18" s="7" t="str">
        <x:v>T17</x:v>
      </x:c>
      <x:c r="B18" s="7" t="str">
        <x:v>施行前已取得准入或认证且仍在产销的相关主体</x:v>
      </x:c>
      <x:c r="C18" s="7" t="str">
        <x:v>新办法施行</x:v>
      </x:c>
      <x:c r="D18" s="7" t="str">
        <x:v>补充拆卸及必要拆解技术信息</x:v>
      </x:c>
      <x:c r="E18" s="8" t="n">
        <x:v>6</x:v>
      </x:c>
      <x:c r="F18" s="7" t="str">
        <x:v>月</x:v>
      </x:c>
      <x:c r="G18" s="7" t="str">
        <x:v>第48条</x:v>
      </x:c>
      <x:c r="H18" s="7" t="str">
        <x:v>P09</x:v>
      </x:c>
      <x:c r="I18" s="7" t="str">
        <x:v>施行后的6个月内</x:v>
      </x:c>
      <x:c r="J18" s="7" t="str">
        <x:v>属于过渡补报安排</x:v>
      </x:c>
    </x:row>
  </x:sheetData>
  <x:pageMargins left="0.7" right="0.7" top="0.75" bottom="0.75" header="0.3" footer="0.3"/>
  <x:tableParts count="1">
    <x:tablePart xmlns:r="http://schemas.openxmlformats.org/officeDocument/2006/relationships" r:id="Rb0a355947ba841f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8" hidden="0" customWidth="1"/>
    <x:col min="4" max="4" width="25" hidden="0" customWidth="1"/>
    <x:col min="5" max="5" width="28" hidden="0" customWidth="1"/>
    <x:col min="6" max="6" width="12" hidden="0" customWidth="1"/>
    <x:col min="7" max="7" width="17" hidden="0" customWidth="1"/>
    <x:col min="8" max="8" width="48" hidden="0" customWidth="1"/>
    <x:col min="9" max="9" width="51" hidden="0" customWidth="1"/>
  </x:cols>
  <x:sheetData>
    <x:row r="1" ht="32" customHeight="1">
      <x:c r="A1" s="5" t="str">
        <x:v>统计年</x:v>
      </x:c>
      <x:c r="B1" s="5" t="str">
        <x:v>产量（万辆）</x:v>
      </x:c>
      <x:c r="C1" s="5" t="str">
        <x:v>销量（万辆）</x:v>
      </x:c>
      <x:c r="D1" s="5" t="str">
        <x:v>销量占汽车总销量比重</x:v>
      </x:c>
      <x:c r="E1" s="5" t="str">
        <x:v>销量同比（由相邻年计算）</x:v>
      </x:c>
      <x:c r="F1" s="5" t="str">
        <x:v>来源ID</x:v>
      </x:c>
      <x:c r="G1" s="5" t="str">
        <x:v>正文文献序号</x:v>
      </x:c>
      <x:c r="H1" s="5" t="str">
        <x:v>计量口径</x:v>
      </x:c>
      <x:c r="I1" s="5" t="str">
        <x:v>不可推断事项</x:v>
      </x:c>
    </x:row>
    <x:row r="2" ht="52" customHeight="1">
      <x:c r="A2" s="33" t="n">
        <x:v>2020</x:v>
      </x:c>
      <x:c r="B2" s="30" t="n">
        <x:v>136.6</x:v>
      </x:c>
      <x:c r="C2" s="30" t="n">
        <x:v>136.7</x:v>
      </x:c>
      <x:c r="D2" s="31" t="n">
        <x:f>C2/2531.1</x:f>
        <x:v>0.054008138753901466</x:v>
      </x:c>
      <x:c r="E2" s="31"/>
      <x:c r="F2" s="6" t="str">
        <x:v>D04</x:v>
      </x:c>
      <x:c r="G2" s="6" t="n">
        <x:v>2</x:v>
      </x:c>
      <x:c r="H2" s="6" t="str">
        <x:v>全国汽车行业年度产销；2020占比=136.7/2531.1</x:v>
      </x:c>
      <x:c r="I2" s="6" t="str">
        <x:v>新增销量不直接换算同期退役量</x:v>
      </x:c>
    </x:row>
    <x:row r="3" ht="52" customHeight="1">
      <x:c r="A3" s="33" t="n">
        <x:v>2021</x:v>
      </x:c>
      <x:c r="B3" s="30" t="n">
        <x:v>354.5</x:v>
      </x:c>
      <x:c r="C3" s="30" t="n">
        <x:v>352.1</x:v>
      </x:c>
      <x:c r="D3" s="31" t="n">
        <x:v>0.134</x:v>
      </x:c>
      <x:c r="E3" s="31" t="n">
        <x:f>C3/C2-1</x:f>
        <x:v>1.5757132406730068</x:v>
      </x:c>
      <x:c r="F3" s="6" t="str">
        <x:v>D05</x:v>
      </x:c>
      <x:c r="G3" s="6" t="n">
        <x:v>3</x:v>
      </x:c>
      <x:c r="H3" s="6" t="str">
        <x:v>全国汽车行业年度产销</x:v>
      </x:c>
      <x:c r="I3" s="6" t="str">
        <x:v>新增销量不直接换算同期退役量</x:v>
      </x:c>
    </x:row>
    <x:row r="4" ht="52" customHeight="1">
      <x:c r="A4" s="33" t="n">
        <x:v>2022</x:v>
      </x:c>
      <x:c r="B4" s="30" t="n">
        <x:v>705.8</x:v>
      </x:c>
      <x:c r="C4" s="30" t="n">
        <x:v>688.7</x:v>
      </x:c>
      <x:c r="D4" s="31" t="n">
        <x:v>0.256</x:v>
      </x:c>
      <x:c r="E4" s="31" t="n">
        <x:f>C4/C3-1</x:f>
        <x:v>0.955978415222948</x:v>
      </x:c>
      <x:c r="F4" s="6" t="str">
        <x:v>D06</x:v>
      </x:c>
      <x:c r="G4" s="6" t="n">
        <x:v>4</x:v>
      </x:c>
      <x:c r="H4" s="6" t="str">
        <x:v>全国汽车行业年度产销</x:v>
      </x:c>
      <x:c r="I4" s="6" t="str">
        <x:v>新增销量不直接换算同期退役量</x:v>
      </x:c>
    </x:row>
    <x:row r="5" ht="52" customHeight="1">
      <x:c r="A5" s="34" t="n">
        <x:v>2023</x:v>
      </x:c>
      <x:c r="B5" s="35" t="n">
        <x:v>958.7</x:v>
      </x:c>
      <x:c r="C5" s="35" t="n">
        <x:v>949.5</x:v>
      </x:c>
      <x:c r="D5" s="36" t="n">
        <x:v>0.316</x:v>
      </x:c>
      <x:c r="E5" s="36" t="n">
        <x:f>C5/C4-1</x:f>
        <x:v>0.37868447800203264</x:v>
      </x:c>
      <x:c r="F5" s="32" t="str">
        <x:v>D01</x:v>
      </x:c>
      <x:c r="G5" s="32" t="n">
        <x:v>5</x:v>
      </x:c>
      <x:c r="H5" s="32" t="str">
        <x:v>全国汽车行业年度产销</x:v>
      </x:c>
      <x:c r="I5" s="32" t="str">
        <x:v>新增销量不直接换算同期退役量</x:v>
      </x:c>
    </x:row>
    <x:row r="6" ht="52" customHeight="1">
      <x:c r="A6" s="34" t="n">
        <x:v>2024</x:v>
      </x:c>
      <x:c r="B6" s="35" t="n">
        <x:v>1288.8</x:v>
      </x:c>
      <x:c r="C6" s="35" t="n">
        <x:v>1286.6</x:v>
      </x:c>
      <x:c r="D6" s="36" t="n">
        <x:v>0.409</x:v>
      </x:c>
      <x:c r="E6" s="36" t="n">
        <x:f>C6/C5-1</x:f>
        <x:v>0.355028962611901</x:v>
      </x:c>
      <x:c r="F6" s="32" t="str">
        <x:v>D02</x:v>
      </x:c>
      <x:c r="G6" s="32" t="n">
        <x:v>6</x:v>
      </x:c>
      <x:c r="H6" s="32" t="str">
        <x:v>全国汽车行业年度产销</x:v>
      </x:c>
      <x:c r="I6" s="32" t="str">
        <x:v>新增销量不直接换算同期退役量</x:v>
      </x:c>
    </x:row>
    <x:row r="7" ht="52" customHeight="1">
      <x:c r="A7" s="34" t="n">
        <x:v>2025</x:v>
      </x:c>
      <x:c r="B7" s="35" t="n">
        <x:v>1662.6</x:v>
      </x:c>
      <x:c r="C7" s="35" t="n">
        <x:v>1649</x:v>
      </x:c>
      <x:c r="D7" s="36" t="n">
        <x:v>0.479</x:v>
      </x:c>
      <x:c r="E7" s="36" t="n">
        <x:f>C7/C6-1</x:f>
        <x:v>0.2816726255246387</x:v>
      </x:c>
      <x:c r="F7" s="32" t="str">
        <x:v>P11</x:v>
      </x:c>
      <x:c r="G7" s="32" t="n">
        <x:v>7</x:v>
      </x:c>
      <x:c r="H7" s="32" t="str">
        <x:v>全国汽车行业年度产销</x:v>
      </x:c>
      <x:c r="I7" s="32" t="str">
        <x:v>新增销量不直接换算同期退役量</x:v>
      </x:c>
    </x:row>
    <x:row r="10">
      <x:c r="A10" t="str">
        <x:v>2020年占比按同一来源136.7/2531.1计算；其他年度采用发布占比。</x:v>
      </x:c>
    </x:row>
    <x:row r="11">
      <x:c r="A11" t="str">
        <x:v>2025年综合利用量原文为“超过40万吨”，不作为精确值40参与绘图或计算。</x:v>
      </x:c>
    </x:row>
    <x:row r="12">
      <x:c r="A12" t="str">
        <x:v>图像由R脚本输出；图号、来源、许可和全部原文网址见图表来源。</x:v>
      </x:c>
    </x:row>
    <x:row r="13">
      <x:c r="A13" t="str">
        <x:v>E列按相邻年度本表发布值直接计算，不等同各年公报给出的同比增速。</x:v>
      </x:c>
    </x:row>
  </x:sheetData>
  <x:pageMargins left="0.7" right="0.7" top="0.75" bottom="0.75" header="0.3" footer="0.3"/>
  <x:drawing xmlns:r="http://schemas.openxmlformats.org/officeDocument/2006/relationships" r:id="R24257f2919054bb5"/>
  <x:tableParts count="1">
    <x:tablePart xmlns:r="http://schemas.openxmlformats.org/officeDocument/2006/relationships" r:id="R2bb60bb1d05e4495"/>
  </x:tableParts>
</x:worksheet>
</file>

<file path=xl/worksheets/sheet6.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4" hidden="0" customWidth="1"/>
    <x:col min="2" max="2" width="29" hidden="0" customWidth="1"/>
    <x:col min="3" max="3" width="62" hidden="0" customWidth="1"/>
    <x:col min="4" max="4" width="28" hidden="0" customWidth="1"/>
    <x:col min="5" max="5" width="115" hidden="0" customWidth="1"/>
    <x:col min="6" max="6" width="120" hidden="0" customWidth="1"/>
  </x:cols>
  <x:sheetData>
    <x:row r="1" ht="32" customHeight="1">
      <x:c r="A1" s="5" t="str">
        <x:v>图表编号</x:v>
      </x:c>
      <x:c r="B1" s="5" t="str">
        <x:v>处理方式</x:v>
      </x:c>
      <x:c r="C1" s="5" t="str">
        <x:v>名称</x:v>
      </x:c>
      <x:c r="D1" s="5" t="str">
        <x:v>来源ID</x:v>
      </x:c>
      <x:c r="E1" s="5" t="str">
        <x:v>图注与边界</x:v>
      </x:c>
      <x:c r="F1" s="5" t="str">
        <x:v>完整原文网址</x:v>
      </x:c>
    </x:row>
    <x:row r="2" ht="90" customHeight="1">
      <x:c r="A2" s="7" t="str">
        <x:v>图1</x:v>
      </x:c>
      <x:c r="B2" s="7" t="str">
        <x:v>官方标识原图与表头重排</x:v>
      </x:c>
      <x:c r="C2" s="7" t="str">
        <x:v>现行回收规章的官方标识与文件表头</x:v>
      </x:c>
      <x:c r="D2" s="7" t="str">
        <x:v>P09</x:v>
      </x:c>
      <x:c r="E2" s="7" t="str">
        <x:v>标识采用工业和信息化部规章库原图；标题、文号与日期据官方原文重排，非原页面截图。</x:v>
      </x:c>
      <x:c r="F2" s="7" t="str">
        <x:v>https://www.miit.gov.cn/gyhxxhb/jgsj/cyzcyfgs/bmgz/jdcjxl/art/2026/art_392462fdc40c415ea4a4129cac3028c2.html；https://wap.miit.gov.cn/cms_files/filemanager/1226211233/picture/202112/S37e0b1a045ab4834b76b88fc89acb415-56.png</x:v>
      </x:c>
    </x:row>
    <x:row r="3" ht="90" customHeight="1">
      <x:c r="A3" s="7" t="str">
        <x:v>图2</x:v>
      </x:c>
      <x:c r="B3" s="7" t="str">
        <x:v>作者R绘制</x:v>
      </x:c>
      <x:c r="C3" s="7" t="str">
        <x:v>在线研究资料库导读与访问二维码</x:v>
      </x:c>
      <x:c r="D3" s="7" t="str">
        <x:v>作者资料库</x:v>
      </x:c>
      <x:c r="E3" s="7" t="str">
        <x:v>作者使用R绘制。资料库提供在线全文、来源检索、模型说明及Word、Excel、图表源数据下载；二维码指向下列网址。</x:v>
      </x:c>
      <x:c r="F3" s="7" t="str">
        <x:v>https://battery-circularity-research-2026.mercedesmadrigal671.chatgpt.site</x:v>
      </x:c>
    </x:row>
    <x:row r="4" ht="90" customHeight="1">
      <x:c r="A4" s="7" t="str">
        <x:v>图3</x:v>
      </x:c>
      <x:c r="B4" s="7" t="str">
        <x:v>作者R绘制</x:v>
      </x:c>
      <x:c r="C4" s="7" t="str">
        <x:v>2020—2025年我国新能源汽车产销规模与市场占比</x:v>
      </x:c>
      <x:c r="D4" s="7" t="str">
        <x:v>D04；D05；D06；D01；D02；P11</x:v>
      </x:c>
      <x:c r="E4" s="7" t="str">
        <x:v>R重绘，a为产量与销量，b为新能源汽车销量占汽车新车总销量的比例。使用全部6个完整年度；2020年占比按同一来源136.7/2531.1计算，其余为发布值。销量及占比均非同期退役量。</x:v>
      </x:c>
      <x:c r="F4" s="7" t="str">
        <x:v>https://www.miit.gov.cn/gxsj/tjfx/zbgy/qc/art/2021/art_80a68716879e4180a0dea39183b546cf.html；https://www.ncsti.gov.cn/kjdt/xwjj/202201/t20220113_55954.html；https://gxt.fujian.gov.cn/zwgk/xw/hydt/xydt/202301/t20230113_6093871.htm；https://cqca.miit.gov.cn/xwdt/szyw/art/2024/art_c027c95c78de4ca3a295077ba84a5528.html；https://nmca.miit.gov.cn/xwdt/xydt/art/2025/art_cf7b588d74fa4957ac1e846deb08578b.html；https://www.miit.gov.cn/xwfb/xwfbh/bxwfbh/art/2026/art_c5c9031e409e468eb4004d82fd394241.html</x:v>
      </x:c>
    </x:row>
    <x:row r="5" ht="90" customHeight="1">
      <x:c r="A5" s="7" t="str">
        <x:v>图4</x:v>
      </x:c>
      <x:c r="B5" s="7" t="str">
        <x:v>作者R绘制</x:v>
      </x:c>
      <x:c r="C5" s="7" t="str">
        <x:v>2023—2025年不同地区新注册电动车电池的化学体系结构</x:v>
      </x:c>
      <x:c r="D5" s="7" t="str">
        <x:v>I06；D03</x:v>
      </x:c>
      <x:c r="E5" s="7" t="str">
        <x:v>依据IEA《Global EV Outlook 2026》图7.5及官网公开CSV数据，作者用R重绘。按电池容量统计，不含二/三轮车；磷酸铁锂含LMFP。4地区×3年×3体系数据全部保留；数据与原报告按CC BY 4.0署名。</x:v>
      </x:c>
      <x:c r="F5" s="7" t="str">
        <x:v>https://www.iea.org/reports/global-ev-outlook-2026/electric-vehicle-batteries；https://www.iea.org/data-and-statistics/charts/electric-vehicle-battery-sales-share-by-chemistry-and-region-2023-2025</x:v>
      </x:c>
    </x:row>
    <x:row r="6" ht="90" customHeight="1">
      <x:c r="A6" s="7" t="str">
        <x:v>图5</x:v>
      </x:c>
      <x:c r="B6" s="7" t="str">
        <x:v>文献原图完整引用</x:v>
      </x:c>
      <x:c r="C6" s="7" t="str">
        <x:v>锂离子电池供应链概念图（文献原图）</x:v>
      </x:c>
      <x:c r="D6" s="7" t="str">
        <x:v>L07</x:v>
      </x:c>
      <x:c r="E6" s="7" t="str">
        <x:v>Chacana-Olivares等（2025），Fig.1。原样转载，仅等比例显示；CC BY-NC-ND 4.0，非商业学习用途。图中历史路径为国际技术概念，具体国内用途按现行制度核对。</x:v>
      </x:c>
      <x:c r="F6" s="7" t="str">
        <x:v>https://www.nature.com/articles/s44296-025-00083-7</x:v>
      </x:c>
    </x:row>
    <x:row r="7" ht="90" customHeight="1">
      <x:c r="A7" s="7" t="str">
        <x:v>图6</x:v>
      </x:c>
      <x:c r="B7" s="7" t="str">
        <x:v>文献原图完整引用</x:v>
      </x:c>
      <x:c r="C7" s="7" t="str">
        <x:v>锂离子电池直接再生工艺示例（文献原图）</x:v>
      </x:c>
      <x:c r="D7" s="7" t="str">
        <x:v>L16</x:v>
      </x:c>
      <x:c r="E7" s="7" t="str">
        <x:v>Tembo等（2024）Fig.7，CC BY 4.0。原样转载，仅等比例缩放；中文题注置于图外。流程为文献技术示例，具体材料、适用工艺和产物质量仍须按当前标准核查。原文：https://doi.org/10.1038/s41427-024-00562-8；许可：https://creativecommons.org/licenses/by/4.0/。</x:v>
      </x:c>
      <x:c r="F7" s="7" t="str">
        <x:v>https://doi.org/10.1038/s41427-024-00562-8</x:v>
      </x:c>
    </x:row>
    <x:row r="8" ht="90" customHeight="1">
      <x:c r="A8" s="7" t="str">
        <x:v>图7</x:v>
      </x:c>
      <x:c r="B8" s="7" t="str">
        <x:v>作者R绘制</x:v>
      </x:c>
      <x:c r="C8" s="7" t="str">
        <x:v>主要来源主体、回收网点与综合利用的责任关系</x:v>
      </x:c>
      <x:c r="D8" s="7" t="str">
        <x:v>P09</x:v>
      </x:c>
      <x:c r="E8" s="7" t="str">
        <x:v>依据2026年管理暂行办法第14—20、24条整理，为主要路径简图；适用例外和自行利用条件见正文。</x:v>
      </x:c>
      <x:c r="F8" s="7" t="str">
        <x:v>https://www.miit.gov.cn/gyhxxhb/jgsj/cyzcyfgs/bmgz/jdcjxl/art/2026/art_392462fdc40c415ea4a4129cac3028c2.html</x:v>
      </x:c>
    </x:row>
    <x:row r="9" ht="90" customHeight="1">
      <x:c r="A9" s="7" t="str">
        <x:v>图8</x:v>
      </x:c>
      <x:c r="B9" s="7" t="str">
        <x:v>作者R绘制</x:v>
      </x:c>
      <x:c r="C9" s="7" t="str">
        <x:v>部分相邻流转事件的信息报送期限</x:v>
      </x:c>
      <x:c r="D9" s="7" t="str">
        <x:v>P09</x:v>
      </x:c>
      <x:c r="E9" s="7" t="str">
        <x:v>依据第24条第6、7项及第46条整理。自然日，自各对应事件发生起计算；完整事件清单见“责任与溯源”。</x:v>
      </x:c>
      <x:c r="F9" s="7" t="str">
        <x:v>https://www.miit.gov.cn/gyhxxhb/jgsj/cyzcyfgs/bmgz/jdcjxl/art/2026/art_392462fdc40c415ea4a4129cac3028c2.html</x:v>
      </x:c>
    </x:row>
    <x:row r="10" ht="90" customHeight="1">
      <x:c r="A10" s="7" t="str">
        <x:v>图9</x:v>
      </x:c>
      <x:c r="B10" s="7" t="str">
        <x:v>作者R绘制</x:v>
      </x:c>
      <x:c r="C10" s="7" t="str">
        <x:v>新办法选定分析记录的非互斥编码</x:v>
      </x:c>
      <x:c r="D10" s="7" t="str">
        <x:v>P09</x:v>
      </x:c>
      <x:c r="E10" s="7" t="str">
        <x:v>20条目的性分析记录、6个非互斥维度；逐条判定与理由见Excel“条款编码”。不是全文普查、政策评分或执行效果。</x:v>
      </x:c>
      <x:c r="F10" s="7" t="str">
        <x:v>https://www.miit.gov.cn/gyhxxhb/jgsj/cyzcyfgs/bmgz/jdcjxl/art/2026/art_392462fdc40c415ea4a4129cac3028c2.html</x:v>
      </x:c>
    </x:row>
    <x:row r="11" ht="90" customHeight="1">
      <x:c r="A11" s="7" t="str">
        <x:v>图10</x:v>
      </x:c>
      <x:c r="B11" s="7" t="str">
        <x:v>作者R绘制</x:v>
      </x:c>
      <x:c r="C11" s="7" t="str">
        <x:v>自然日报送期限的事件分布与经验累积分布</x:v>
      </x:c>
      <x:c r="D11" s="7" t="str">
        <x:v>P09；M01</x:v>
      </x:c>
      <x:c r="E11" s="7" t="str">
        <x:v>17项事件中13项使用自然日；另4项单位不同单列。每项规则等权，不代表企业业务频率或实际耗时，无置信区间。</x:v>
      </x:c>
      <x:c r="F11" s="7" t="str">
        <x:v>https://www.miit.gov.cn/gyhxxhb/jgsj/cyzcyfgs/bmgz/jdcjxl/art/2026/art_392462fdc40c415ea4a4129cac3028c2.html；https://www.itl.nist.gov/div898/software/dataplot/refman1/auxillar/ecdfplot.htm</x:v>
      </x:c>
    </x:row>
    <x:row r="12" ht="90" customHeight="1">
      <x:c r="A12" s="7" t="str">
        <x:v>图11</x:v>
      </x:c>
      <x:c r="B12" s="7" t="str">
        <x:v>作者R绘制</x:v>
      </x:c>
      <x:c r="C12" s="7" t="str">
        <x:v>待匹配窗口的确定性范围、混合分布与尾部特征</x:v>
      </x:c>
      <x:c r="D12" s="7" t="str">
        <x:v>P09</x:v>
      </x:c>
      <x:c r="E12" s="7" t="str">
        <x:v>R解析计算。a无需分布假设；b—d取独立均匀报送。b为W&gt;0的无条件密度，面积为1−P(W=0)；c单列零值概率；d圆点为均值、三角为95%模型分位，连接线仅辅助比较，均非置信区间。τ=0/2/5/10日均保留。</x:v>
      </x:c>
      <x:c r="F12" s="7" t="str">
        <x:v>https://www.miit.gov.cn/gyhxxhb/jgsj/cyzcyfgs/bmgz/jdcjxl/art/2026/art_392462fdc40c415ea4a4129cac3028c2.html</x:v>
      </x:c>
    </x:row>
    <x:row r="13" ht="90" customHeight="1">
      <x:c r="A13" s="7" t="str">
        <x:v>图12</x:v>
      </x:c>
      <x:c r="B13" s="7" t="str">
        <x:v>作者R绘制</x:v>
      </x:c>
      <x:c r="C13" s="7" t="str">
        <x:v>待匹配窗口的参数与结构敏感性</x:v>
      </x:c>
      <x:c r="D13" s="7" t="str">
        <x:v>M02</x:v>
      </x:c>
      <x:c r="E13" s="7" t="str">
        <x:v>作者解析计算及数值积分。运输间隔、自愿提前报送、边际分布与依赖结构分别比较。b图点与线为模型中位数及5%—95%分位；η不改变法定期限，全部为条件情景。</x:v>
      </x:c>
      <x:c r="F13" s="7" t="str">
        <x:v>https://knowledge-for-policy.ec.europa.eu/composite-indicators/toolkit_en/navigation-page/10-step-guide_en/step-8-sensitivity-analysis_en</x:v>
      </x:c>
    </x:row>
    <x:row r="14" ht="90" customHeight="1">
      <x:c r="A14" s="7" t="str">
        <x:v>图13</x:v>
      </x:c>
      <x:c r="B14" s="7" t="str">
        <x:v>作者R绘制</x:v>
      </x:c>
      <x:c r="C14" s="7" t="str">
        <x:v>近期公开专利与政策实施任务的对应</x:v>
      </x:c>
      <x:c r="D14" s="7" t="str">
        <x:v>K01；K02；K03；K04</x:v>
      </x:c>
      <x:c r="E14" s="7" t="str">
        <x:v>R定性矩阵。权：选读权利要求有对应特征；说：选读说明书中识别；—：未在选读范围编码。不是完整权利范围、技术评分或合规认证。</x:v>
      </x:c>
      <x:c r="F14" s="7" t="str">
        <x:v>https://patents.google.com/patent/CN121391285A/zh；https://patents.google.com/patent/CN121810320A/zh；https://patents.google.com/patent/CN120077396A/zh；https://patents.google.com/patent/US20250132404A1/en</x:v>
      </x:c>
    </x:row>
    <x:row r="15" ht="90" customHeight="1">
      <x:c r="A15" s="7" t="str">
        <x:v>图14</x:v>
      </x:c>
      <x:c r="B15" s="7" t="str">
        <x:v>作者R绘制</x:v>
      </x:c>
      <x:c r="C15" s="7" t="str">
        <x:v>上海贮存期限与容量约束下的周转边界及执行情景</x:v>
      </x:c>
      <x:c r="D15" s="7" t="str">
        <x:v>S10</x:v>
      </x:c>
      <x:c r="E15" s="7" t="str">
        <x:v>R绘制：a为不同期限的h上界；b为B/C类在λ—K空间的上界；c为不同转运周期的库存/容量及贮存时间/期限；d比较明确参数扰动的效果。标准D_A=20日、D_B/C=5日；λ、K、Q₀和δ为作者情景。h上界≤0表示无可行正周期。容量不能替代消防及隔离条件。</x:v>
      </x:c>
      <x:c r="F15" s="7" t="str">
        <x:v>https://dbba.sacinfo.org.cn/portal/download/9654370ff159be94d8944bc00b4e1a79dbc8f9e011e32ee0e00c6d2e02ade63a</x:v>
      </x:c>
    </x:row>
    <x:row r="16" ht="90" customHeight="1">
      <x:c r="A16" s="7" t="str">
        <x:v>图15</x:v>
      </x:c>
      <x:c r="B16" s="7" t="str">
        <x:v>作者R绘制</x:v>
      </x:c>
      <x:c r="C16" s="7" t="str">
        <x:v>工序锂回收要求与全链条资源回收比例</x:v>
      </x:c>
      <x:c r="D16" s="7" t="str">
        <x:v>S08；B04</x:v>
      </x:c>
      <x:c r="E16" s="7" t="str">
        <x:v>R绘制；RLi=cγrLi，rLi=0.85以官方发布会对GB/T 33598.2的说明为依据；c、γ和rLi=0.90为作者情景。热图无实测样本，右图比较不同条件变化，不包含成本收益排序。模型限定同质批次或按同一目标元素质量计量。</x:v>
      </x:c>
      <x:c r="F16" s="7" t="str">
        <x:v>https://openstd.samr.gov.cn/bzgk/std/newGbInfo?hcno=97908F7AAA375BDA99C57E9AC946B0C3；https://www.samr.gov.cn/xw/xwfbt/art/2025/art_9269729e74ca43bcad78a3cdbe0c6756.html</x:v>
      </x:c>
    </x:row>
    <x:row r="17" ht="90" customHeight="1">
      <x:c r="A17" s="7" t="str">
        <x:v>图16</x:v>
      </x:c>
      <x:c r="B17" s="7" t="str">
        <x:v>文献原图完整引用</x:v>
      </x:c>
      <x:c r="C17" s="7" t="str">
        <x:v>特定退役电池破碎料的组成与粒级差异（文献原图）</x:v>
      </x:c>
      <x:c r="D17" s="7" t="str">
        <x:v>L22</x:v>
      </x:c>
      <x:c r="E17" s="7" t="str">
        <x:v>Anticoi等（2025），Fig.9，完整原样转载，仅等比例显示；CC BY 4.0，https://creativecommons.org/licenses/by/4.0/ 。a为该研究整体组成，b为粒级组成，c、d为细/粗粒级灼烧减量组成。样本为该文滑板车电池破碎料，不能外推我国新能源汽车退役物料的总体分布。</x:v>
      </x:c>
      <x:c r="F17" s="7" t="str">
        <x:v>https://doi.org/10.1007/s10163-025-02159-x</x:v>
      </x:c>
    </x:row>
    <x:row r="18" ht="90" customHeight="1">
      <x:c r="A18" s="7" t="str">
        <x:v>图17</x:v>
      </x:c>
      <x:c r="B18" s="7" t="str">
        <x:v>作者R绘制</x:v>
      </x:c>
      <x:c r="C18" s="7" t="str">
        <x:v>企业碳核算结构与用电参数敏感性</x:v>
      </x:c>
      <x:c r="D18" s="7" t="str">
        <x:v>S12；L19</x:v>
      </x:c>
      <x:c r="E18" s="7" t="str">
        <x:v>依据湖南标准4章、5.2.1、5.2.4、5.2.5建立企业边界，作者R绘制。所有活动数据及电力因子为情景输入；a保持其他净排放0.14吨CO₂/吨，b展示参考情景0.44吨CO₂/吨的分项。该结果不是生命周期减排量。</x:v>
      </x:c>
      <x:c r="F18" s="7" t="str">
        <x:v>https://dbba.sacinfo.org.cn/portal/download/78cef7eb10a04f13bf79b32dd84edfb596548488c57af9111182a1d474b5e117；https://doi.org/10.1038/s41467-025-56063-x</x:v>
      </x:c>
    </x:row>
    <x:row r="19" ht="90" customHeight="1">
      <x:c r="A19" s="7" t="str">
        <x:v>表1</x:v>
      </x:c>
      <x:c r="B19" s="7" t="str">
        <x:v>作者整理/计算</x:v>
      </x:c>
      <x:c r="C19" s="7" t="str">
        <x:v>见Word对应表题和表注</x:v>
      </x:c>
      <x:c r="D19" s="7" t="str">
        <x:v>见正文引用</x:v>
      </x:c>
      <x:c r="E19" s="7" t="str">
        <x:v>标准、情景、实测分别标示；完整URL见资料总库</x:v>
      </x:c>
      <x:c r="F19" s="7" t="str">
        <x:v>对应来源见资料总库</x:v>
      </x:c>
    </x:row>
    <x:row r="20" ht="90" customHeight="1">
      <x:c r="A20" s="7" t="str">
        <x:v>表2</x:v>
      </x:c>
      <x:c r="B20" s="7" t="str">
        <x:v>作者整理/计算</x:v>
      </x:c>
      <x:c r="C20" s="7" t="str">
        <x:v>见Word对应表题和表注</x:v>
      </x:c>
      <x:c r="D20" s="7" t="str">
        <x:v>见正文引用</x:v>
      </x:c>
      <x:c r="E20" s="7" t="str">
        <x:v>标准、情景、实测分别标示；完整URL见资料总库</x:v>
      </x:c>
      <x:c r="F20" s="7" t="str">
        <x:v>对应来源见资料总库</x:v>
      </x:c>
    </x:row>
    <x:row r="21" ht="90" customHeight="1">
      <x:c r="A21" s="7" t="str">
        <x:v>表3</x:v>
      </x:c>
      <x:c r="B21" s="7" t="str">
        <x:v>作者整理/计算</x:v>
      </x:c>
      <x:c r="C21" s="7" t="str">
        <x:v>见Word对应表题和表注</x:v>
      </x:c>
      <x:c r="D21" s="7" t="str">
        <x:v>见正文引用</x:v>
      </x:c>
      <x:c r="E21" s="7" t="str">
        <x:v>标准、情景、实测分别标示；完整URL见资料总库</x:v>
      </x:c>
      <x:c r="F21" s="7" t="str">
        <x:v>对应来源见资料总库</x:v>
      </x:c>
    </x:row>
    <x:row r="22" ht="90" customHeight="1">
      <x:c r="A22" s="7" t="str">
        <x:v>表4</x:v>
      </x:c>
      <x:c r="B22" s="7" t="str">
        <x:v>作者整理/计算</x:v>
      </x:c>
      <x:c r="C22" s="7" t="str">
        <x:v>见Word对应表题和表注</x:v>
      </x:c>
      <x:c r="D22" s="7" t="str">
        <x:v>见正文引用</x:v>
      </x:c>
      <x:c r="E22" s="7" t="str">
        <x:v>标准、情景、实测分别标示；完整URL见资料总库</x:v>
      </x:c>
      <x:c r="F22" s="7" t="str">
        <x:v>对应来源见资料总库</x:v>
      </x:c>
    </x:row>
    <x:row r="23" ht="90" customHeight="1">
      <x:c r="A23" s="7" t="str">
        <x:v>表5</x:v>
      </x:c>
      <x:c r="B23" s="7" t="str">
        <x:v>作者整理/计算</x:v>
      </x:c>
      <x:c r="C23" s="7" t="str">
        <x:v>见Word对应表题和表注</x:v>
      </x:c>
      <x:c r="D23" s="7" t="str">
        <x:v>见正文引用</x:v>
      </x:c>
      <x:c r="E23" s="7" t="str">
        <x:v>标准、情景、实测分别标示；完整URL见资料总库</x:v>
      </x:c>
      <x:c r="F23" s="7" t="str">
        <x:v>对应来源见资料总库</x:v>
      </x:c>
    </x:row>
    <x:row r="24" ht="90" customHeight="1">
      <x:c r="A24" s="7" t="str">
        <x:v>表6</x:v>
      </x:c>
      <x:c r="B24" s="7" t="str">
        <x:v>作者整理/计算</x:v>
      </x:c>
      <x:c r="C24" s="7" t="str">
        <x:v>见Word对应表题和表注</x:v>
      </x:c>
      <x:c r="D24" s="7" t="str">
        <x:v>见正文引用</x:v>
      </x:c>
      <x:c r="E24" s="7" t="str">
        <x:v>标准、情景、实测分别标示；完整URL见资料总库</x:v>
      </x:c>
      <x:c r="F24" s="7" t="str">
        <x:v>对应来源见资料总库</x:v>
      </x:c>
    </x:row>
    <x:row r="25" ht="90" customHeight="1">
      <x:c r="A25" s="18" t="str">
        <x:v>表7</x:v>
      </x:c>
      <x:c r="B25" s="18" t="str">
        <x:v>作者整理/计算</x:v>
      </x:c>
      <x:c r="C25" s="18" t="str">
        <x:v>见Word对应表题和表注</x:v>
      </x:c>
      <x:c r="D25" s="18" t="str">
        <x:v>见正文引用</x:v>
      </x:c>
      <x:c r="E25" s="18" t="str">
        <x:v>标准、情景、实测分别标示；完整URL见资料总库</x:v>
      </x:c>
      <x:c r="F25" s="18" t="str">
        <x:v>对应来源见资料总库</x:v>
      </x:c>
    </x:row>
    <x:row r="26" ht="90" customHeight="1">
      <x:c r="A26" s="18" t="str">
        <x:v>表8</x:v>
      </x:c>
      <x:c r="B26" s="18" t="str">
        <x:v>作者整理/计算</x:v>
      </x:c>
      <x:c r="C26" s="18" t="str">
        <x:v>见Word对应表题和表注</x:v>
      </x:c>
      <x:c r="D26" s="18" t="str">
        <x:v>见正文引用</x:v>
      </x:c>
      <x:c r="E26" s="18" t="str">
        <x:v>标准、情景、实测分别标示；完整URL见资料总库</x:v>
      </x:c>
      <x:c r="F26" s="18" t="str">
        <x:v>对应来源见资料总库</x:v>
      </x:c>
    </x:row>
    <x:row r="27" ht="90" customHeight="1">
      <x:c r="A27" s="18" t="str">
        <x:v>表9</x:v>
      </x:c>
      <x:c r="B27" s="18" t="str">
        <x:v>作者整理/计算</x:v>
      </x:c>
      <x:c r="C27" s="18" t="str">
        <x:v>见Word对应表题和表注</x:v>
      </x:c>
      <x:c r="D27" s="18" t="str">
        <x:v>见正文引用</x:v>
      </x:c>
      <x:c r="E27" s="18" t="str">
        <x:v>标准、情景、实测分别标示；完整URL见资料总库</x:v>
      </x:c>
      <x:c r="F27" s="18" t="str">
        <x:v>对应来源见资料总库</x:v>
      </x:c>
    </x:row>
  </x:sheetData>
  <x:pageMargins left="0.7" right="0.7" top="0.75" bottom="0.75" header="0.3" footer="0.3"/>
  <x:tableParts count="1">
    <x:tablePart xmlns:r="http://schemas.openxmlformats.org/officeDocument/2006/relationships" r:id="R8e4485c5180e4d0c"/>
  </x:tableParts>
</x:worksheet>
</file>

<file path=xl/worksheets/sheet7.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0" hidden="0" customWidth="1"/>
    <x:col min="2" max="2" width="10" hidden="0" customWidth="1"/>
    <x:col min="3" max="3" width="33" hidden="0" customWidth="1"/>
    <x:col min="4" max="4" width="10" hidden="0" customWidth="1"/>
    <x:col min="5" max="5" width="35" hidden="0" customWidth="1"/>
    <x:col min="6" max="6" width="51" hidden="0" customWidth="1"/>
    <x:col min="7" max="7" width="42" hidden="0" customWidth="1"/>
    <x:col min="8" max="8" width="58" hidden="0" customWidth="1"/>
    <x:col min="9" max="9" width="60" hidden="0" customWidth="1"/>
    <x:col min="10" max="10" width="60" hidden="0" customWidth="1"/>
    <x:col min="11" max="11" width="49" hidden="0" customWidth="1"/>
    <x:col min="12" max="12" width="12" hidden="0" customWidth="1"/>
  </x:cols>
  <x:sheetData>
    <x:row r="1" ht="32" customHeight="1">
      <x:c r="A1" s="5" t="str">
        <x:v>资料ID</x:v>
      </x:c>
      <x:c r="B1" s="5" t="str">
        <x:v>正文序号</x:v>
      </x:c>
      <x:c r="C1" s="5" t="str">
        <x:v>作者</x:v>
      </x:c>
      <x:c r="D1" s="5" t="str">
        <x:v>年份</x:v>
      </x:c>
      <x:c r="E1" s="5" t="str">
        <x:v>研究方法</x:v>
      </x:c>
      <x:c r="F1" s="5" t="str">
        <x:v>数据或研究范围</x:v>
      </x:c>
      <x:c r="G1" s="5" t="str">
        <x:v>核心研究对象</x:v>
      </x:c>
      <x:c r="H1" s="5" t="str">
        <x:v>已有贡献或发现</x:v>
      </x:c>
      <x:c r="I1" s="5" t="str">
        <x:v>不足及适用边界</x:v>
      </x:c>
      <x:c r="J1" s="5" t="str">
        <x:v>本文如何回应</x:v>
      </x:c>
      <x:c r="K1" s="5" t="str">
        <x:v>核验层级</x:v>
      </x:c>
      <x:c r="L1" s="5" t="str">
        <x:v>正文位置</x:v>
      </x:c>
    </x:row>
    <x:row r="2" ht="88" customHeight="1">
      <x:c r="A2" s="7" t="str">
        <x:v>L01</x:v>
      </x:c>
      <x:c r="B2" s="8" t="n">
        <x:v>23</x:v>
      </x:c>
      <x:c r="C2" s="7" t="str">
        <x:v>危浪，王翠霞</x:v>
      </x:c>
      <x:c r="D2" s="8" t="n">
        <x:v>2023</x:v>
      </x:c>
      <x:c r="E2" s="7" t="str">
        <x:v>系统动力学与演化博弈</x:v>
      </x:c>
      <x:c r="F2" s="7" t="str">
        <x:v>理论模型及数值模拟；本次未核实全部参数</x:v>
      </x:c>
      <x:c r="G2" s="7" t="str">
        <x:v>监管与企业策略相互作用</x:v>
      </x:c>
      <x:c r="H2" s="7" t="str">
        <x:v>用系统动力学与演化博弈讨论回收监管策略。</x:v>
      </x:c>
      <x:c r="I2" s="7" t="str">
        <x:v>模型结论依赖假设及参数；本稿不引用未核实的具体阈值。</x:v>
      </x:c>
      <x:c r="J2" s="7" t="str">
        <x:v>用于解释收益与约束共同影响责任履行；不引用模型阈值</x:v>
      </x:c>
      <x:c r="K2" s="7" t="str">
        <x:v>期刊题录与摘要；未得全文</x:v>
      </x:c>
      <x:c r="L2" s="7" t="str">
        <x:v>2.3</x:v>
      </x:c>
    </x:row>
    <x:row r="3" ht="88" customHeight="1">
      <x:c r="A3" s="7" t="str">
        <x:v>L02</x:v>
      </x:c>
      <x:c r="B3" s="8" t="n">
        <x:v>25</x:v>
      </x:c>
      <x:c r="C3" s="7" t="str">
        <x:v>Huang X, Lei S, Liu F, et al.</x:v>
      </x:c>
      <x:c r="D3" s="8" t="n">
        <x:v>2024</x:v>
      </x:c>
      <x:c r="E3" s="7" t="str">
        <x:v>离散选择实验</x:v>
      </x:c>
      <x:c r="F3" s="7" t="str">
        <x:v>中国重庆1190名消费者；公开摘要</x:v>
      </x:c>
      <x:c r="G3" s="7" t="str">
        <x:v>正规回收偏好与支付意愿</x:v>
      </x:c>
      <x:c r="H3" s="7" t="str">
        <x:v>重庆1190份样本的离散选择研究关注价格、回收便利性和可追溯性。</x:v>
      </x:c>
      <x:c r="I3" s="7" t="str">
        <x:v>地区样本和陈述偏好不能直接当全国真实交投行为。</x:v>
      </x:c>
      <x:c r="J3" s="7" t="str">
        <x:v>将服务便利、透明度纳入配套建议；不开展新问卷</x:v>
      </x:c>
      <x:c r="K3" s="7" t="str">
        <x:v>PubMed正式题录与摘要；未得全文</x:v>
      </x:c>
      <x:c r="L3" s="7" t="str">
        <x:v>2.3</x:v>
      </x:c>
    </x:row>
    <x:row r="4" ht="88" customHeight="1">
      <x:c r="A4" s="7" t="str">
        <x:v>L03</x:v>
      </x:c>
      <x:c r="B4" s="8" t="n">
        <x:v>28</x:v>
      </x:c>
      <x:c r="C4" s="7" t="str">
        <x:v>冯章伟，杜碧升，于志勇，牟善栋</x:v>
      </x:c>
      <x:c r="D4" s="8" t="n">
        <x:v>2025</x:v>
      </x:c>
      <x:c r="E4" s="7" t="str">
        <x:v>回收与溯源投入的博弈模型</x:v>
      </x:c>
      <x:c r="F4" s="7" t="str">
        <x:v>理论情境；出版社公开摘要</x:v>
      </x:c>
      <x:c r="G4" s="7" t="str">
        <x:v>技术投入、信任及渠道收益关系</x:v>
      </x:c>
      <x:c r="H4" s="7" t="str">
        <x:v>用供应链博弈讨论溯源技术投入与信任、成本条件的关系。</x:v>
      </x:c>
      <x:c r="I4" s="7" t="str">
        <x:v>不能把模型中信任提高直接等同实际回收率上升；区块链不保证源头真实。</x:v>
      </x:c>
      <x:c r="J4" s="7" t="str">
        <x:v>区分技术防篡改与原始信息真实性</x:v>
      </x:c>
      <x:c r="K4" s="7" t="str">
        <x:v>期刊当期目录及摘要；未得全文</x:v>
      </x:c>
      <x:c r="L4" s="7" t="str">
        <x:v>2.4</x:v>
      </x:c>
    </x:row>
    <x:row r="5" ht="88" customHeight="1">
      <x:c r="A5" s="7" t="str">
        <x:v>L04</x:v>
      </x:c>
      <x:c r="B5" s="8" t="n">
        <x:v>24</x:v>
      </x:c>
      <x:c r="C5" s="7" t="str">
        <x:v>Ge M, Wu C</x:v>
      </x:c>
      <x:c r="D5" s="8" t="n">
        <x:v>2026</x:v>
      </x:c>
      <x:c r="E5" s="7" t="str">
        <x:v>四方演化博弈</x:v>
      </x:c>
      <x:c r="F5" s="7" t="str">
        <x:v>含消费者行为偏好和非正规回收者；公开摘要</x:v>
      </x:c>
      <x:c r="G5" s="7" t="str">
        <x:v>多主体策略演化与渠道竞争</x:v>
      </x:c>
      <x:c r="H5" s="7" t="str">
        <x:v>四方博弈将消费者偏好与非正规回收者纳入分析。</x:v>
      </x:c>
      <x:c r="I5" s="7" t="str">
        <x:v>策略稳定条件具有模型依赖性；未直接检验2026新规效果。</x:v>
      </x:c>
      <x:c r="J5" s="7" t="str">
        <x:v>解释渠道选择条件；不推算现实非正规渠道占比</x:v>
      </x:c>
      <x:c r="K5" s="7" t="str">
        <x:v>出版商题录与摘要；未得全文</x:v>
      </x:c>
      <x:c r="L5" s="7" t="str">
        <x:v>2.3</x:v>
      </x:c>
    </x:row>
    <x:row r="6" ht="88" customHeight="1">
      <x:c r="A6" s="7" t="str">
        <x:v>L05</x:v>
      </x:c>
      <x:c r="B6" s="8" t="n">
        <x:v>21</x:v>
      </x:c>
      <x:c r="C6" s="7" t="str">
        <x:v>田西，袁可欣，温湖炜，刘耀彬</x:v>
      </x:c>
      <x:c r="D6" s="8" t="n">
        <x:v>2025</x:v>
      </x:c>
      <x:c r="E6" s="7" t="str">
        <x:v>双重差分及稳健性检验</x:v>
      </x:c>
      <x:c r="F6" s="7" t="str">
        <x:v>2013—2022年220个城市；已核对公开PDF</x:v>
      </x:c>
      <x:c r="G6" s="7" t="str">
        <x:v>试点政策的技术创新效应（专利）</x:v>
      </x:c>
      <x:c r="H6" s="7" t="str">
        <x:v>2013—2022年220城面板，以双重差分研究试点政策与回收专利。</x:v>
      </x:c>
      <x:c r="I6" s="7" t="str">
        <x:v>专利衡量创新产出，不代表回收量、真实回收率或污染减排；样本止于2022年。</x:v>
      </x:c>
      <x:c r="J6" s="7" t="str">
        <x:v>区分创新、履行过程与资源环境结果；不移用至2026新规</x:v>
      </x:c>
      <x:c r="K6" s="7" t="str">
        <x:v>学会提供正式全文PDF</x:v>
      </x:c>
      <x:c r="L6" s="7" t="str">
        <x:v>2.2</x:v>
      </x:c>
    </x:row>
    <x:row r="7" ht="88" customHeight="1">
      <x:c r="A7" s="7" t="str">
        <x:v>L06</x:v>
      </x:c>
      <x:c r="B7" s="8" t="n">
        <x:v>11</x:v>
      </x:c>
      <x:c r="C7" s="7" t="str">
        <x:v>Harper G, Sommerville R, Kendrick E, et al.</x:v>
      </x:c>
      <x:c r="D7" s="8" t="n">
        <x:v>2019</x:v>
      </x:c>
      <x:c r="E7" s="7" t="str">
        <x:v>技术路线与回收系统综述</x:v>
      </x:c>
      <x:c r="F7" s="7" t="str">
        <x:v>电动汽车锂离子电池回收与再利用研究；摘要</x:v>
      </x:c>
      <x:c r="G7" s="7" t="str">
        <x:v>材料、拆解及回收路线</x:v>
      </x:c>
      <x:c r="H7" s="7" t="str">
        <x:v>评述电动汽车锂电池回收与再利用技术路线和难点。</x:v>
      </x:c>
      <x:c r="I7" s="7" t="str">
        <x:v>技术综述不直接评估中国当前责任制度的执行。</x:v>
      </x:c>
      <x:c r="J7" s="7" t="str">
        <x:v>把必要技术信息与主体责任相联系</x:v>
      </x:c>
      <x:c r="K7" s="7" t="str">
        <x:v>出版商与PubMed题录及摘要；未得全文</x:v>
      </x:c>
      <x:c r="L7" s="7" t="str">
        <x:v>2.1</x:v>
      </x:c>
    </x:row>
    <x:row r="8" ht="88" customHeight="1">
      <x:c r="A8" s="7" t="str">
        <x:v>L07</x:v>
      </x:c>
      <x:c r="B8" s="8" t="n">
        <x:v>12</x:v>
      </x:c>
      <x:c r="C8" s="7" t="str">
        <x:v>Chacana-Olivares J, Peceño B, Grageda M, et al.</x:v>
      </x:c>
      <x:c r="D8" s="8" t="n">
        <x:v>2025</x:v>
      </x:c>
      <x:c r="E8" s="7" t="str">
        <x:v>技术经济与治理挑战评述</x:v>
      </x:c>
      <x:c r="F8" s="7" t="str">
        <x:v>公开全文及原Fig.1；国际技术语境</x:v>
      </x:c>
      <x:c r="G8" s="7" t="str">
        <x:v>设计、拆解、成本与监管分散</x:v>
      </x:c>
      <x:c r="H8" s="7" t="str">
        <x:v>讨论设计拆解、经济约束及监管分散问题；原文Fig.1为价值链概念图。</x:v>
      </x:c>
      <x:c r="I8" s="7" t="str">
        <x:v>全球技术示意，非中国2026年法规；原图中的梯次用途、填埋均非本文合规建议。</x:v>
      </x:c>
      <x:c r="J8" s="7" t="str">
        <x:v>理解工程约束；原图完整转载并标明许可与制度边界</x:v>
      </x:c>
      <x:c r="K8" s="7" t="str">
        <x:v>出版商全文；原图与许可核验</x:v>
      </x:c>
      <x:c r="L8" s="7" t="str">
        <x:v>2.1</x:v>
      </x:c>
    </x:row>
    <x:row r="9" ht="88" customHeight="1">
      <x:c r="A9" s="7" t="str">
        <x:v>L08</x:v>
      </x:c>
      <x:c r="B9" s="8" t="n">
        <x:v>31</x:v>
      </x:c>
      <x:c r="C9" s="7" t="str">
        <x:v>Zhang Z, Gu J, Li R, et al.</x:v>
      </x:c>
      <x:c r="D9" s="8" t="n">
        <x:v>2026</x:v>
      </x:c>
      <x:c r="E9" s="7" t="str">
        <x:v>数字产品护照系统文献综述</x:v>
      </x:c>
      <x:c r="F9" s="7" t="str">
        <x:v>186篇文献；跨行业；公开摘要/索引</x:v>
      </x:c>
      <x:c r="G9" s="7" t="str">
        <x:v>系统架构、技术与应用</x:v>
      </x:c>
      <x:c r="H9" s="7" t="str">
        <x:v>综述186篇文献，讨论数字产品护照系统的技术、架构与跨行业应用。</x:v>
      </x:c>
      <x:c r="I9" s="7" t="str">
        <x:v>跨行业系统综述不等于中国动力电池回收效果评估；不据此推荐单一技术。</x:v>
      </x:c>
      <x:c r="J9" s="7" t="str">
        <x:v>用于识别互操作与数据治理问题；不代表中国运行效果</x:v>
      </x:c>
      <x:c r="K9" s="7" t="str">
        <x:v>出版社公开摘要/索引；Crossref元数据核验</x:v>
      </x:c>
      <x:c r="L9" s="7" t="str">
        <x:v>2.4</x:v>
      </x:c>
    </x:row>
    <x:row r="10" ht="88" customHeight="1">
      <x:c r="A10" s="7" t="str">
        <x:v>L09</x:v>
      </x:c>
      <x:c r="B10" s="8" t="n">
        <x:v>32</x:v>
      </x:c>
      <x:c r="C10" s="7" t="str">
        <x:v>Soavi F, Gregucci A, Liverani A, et al.</x:v>
      </x:c>
      <x:c r="D10" s="8" t="n">
        <x:v>2026</x:v>
      </x:c>
      <x:c r="E10" s="7" t="str">
        <x:v>法规与数字电池护照评述</x:v>
      </x:c>
      <x:c r="F10" s="7" t="str">
        <x:v>欧盟电池法规语境；公开摘要/索引</x:v>
      </x:c>
      <x:c r="G10" s="7" t="str">
        <x:v>制度前景与实施挑战</x:v>
      </x:c>
      <x:c r="H10" s="7" t="str">
        <x:v>评述欧盟电池法规与数字护照的制度和实施挑战。</x:v>
      </x:c>
      <x:c r="I10" s="7" t="str">
        <x:v>欧盟制度语境；未作为中国现行义务依据；不据评述推断实际绩效。</x:v>
      </x:c>
      <x:c r="J10" s="7" t="str">
        <x:v>比较数据治理；不作为中国现行义务依据</x:v>
      </x:c>
      <x:c r="K10" s="7" t="str">
        <x:v>出版社公开摘要/索引；Crossref元数据核验</x:v>
      </x:c>
      <x:c r="L10" s="7" t="str">
        <x:v>2.4</x:v>
      </x:c>
    </x:row>
    <x:row r="11" ht="88" customHeight="1">
      <x:c r="A11" s="7" t="str">
        <x:v>L10</x:v>
      </x:c>
      <x:c r="B11" s="8" t="n">
        <x:v>19</x:v>
      </x:c>
      <x:c r="C11" s="7" t="str">
        <x:v>高文芳，王嘉庆，王忠强，等</x:v>
      </x:c>
      <x:c r="D11" s="8" t="n">
        <x:v>2024</x:v>
      </x:c>
      <x:c r="E11" s="7" t="str">
        <x:v>国家及地方政策现状比较</x:v>
      </x:c>
      <x:c r="F11" s="7" t="str">
        <x:v>年份、地区与政策关注点；公开摘要及图表</x:v>
      </x:c>
      <x:c r="G11" s="7" t="str">
        <x:v>政策供给的结构与差异</x:v>
      </x:c>
      <x:c r="H11" s="7" t="str">
        <x:v>国家及地方政策的年份、区域和关注点比较；提出政策完善原则。</x:v>
      </x:c>
      <x:c r="I11" s="7" t="str">
        <x:v>政策分布与重点分析不直接测量企业履行；研究早于2026年调整。</x:v>
      </x:c>
      <x:c r="J11" s="7" t="str">
        <x:v>在政策梳理基础上补充2026效力核对与交接事件</x:v>
      </x:c>
      <x:c r="K11" s="7" t="str">
        <x:v>出版社题录、摘要及公开图表</x:v>
      </x:c>
      <x:c r="L11" s="7" t="str">
        <x:v>2.2</x:v>
      </x:c>
    </x:row>
    <x:row r="12" ht="88" customHeight="1">
      <x:c r="A12" s="7" t="str">
        <x:v>L11</x:v>
      </x:c>
      <x:c r="B12" s="8" t="n">
        <x:v>20</x:v>
      </x:c>
      <x:c r="C12" s="7" t="str">
        <x:v>Liu F, Tang J, Rustam A, et al.</x:v>
      </x:c>
      <x:c r="D12" s="8" t="n">
        <x:v>2023</x:v>
      </x:c>
      <x:c r="E12" s="7" t="str">
        <x:v>文本挖掘与PMC指数评价</x:v>
      </x:c>
      <x:c r="F12" s="7" t="str">
        <x:v>2016—2022年；中央13项、地方25项政策</x:v>
      </x:c>
      <x:c r="G12" s="7" t="str">
        <x:v>政策文本结构及中央地方一致性</x:v>
      </x:c>
      <x:c r="H12" s="7" t="str">
        <x:v>文本挖掘与PMC指数评价2016—2022年13项中央、25项地方政策，关注中央地方一致性。</x:v>
      </x:c>
      <x:c r="I12" s="7" t="str">
        <x:v>文本评价受指标编码与赋权影响，不能直接说明回收实物、溯源数据或因果效果。</x:v>
      </x:c>
      <x:c r="J12" s="7" t="str">
        <x:v>不重做未经复核的综合评分；以条款矩阵保障可追溯</x:v>
      </x:c>
      <x:c r="K12" s="7" t="str">
        <x:v>出版社公开摘要/索引；Crossref元数据</x:v>
      </x:c>
      <x:c r="L12" s="7" t="str">
        <x:v>2.2</x:v>
      </x:c>
    </x:row>
    <x:row r="13" ht="88" customHeight="1">
      <x:c r="A13" s="7" t="str">
        <x:v>L12</x:v>
      </x:c>
      <x:c r="B13" s="8" t="n">
        <x:v>26</x:v>
      </x:c>
      <x:c r="C13" s="7" t="str">
        <x:v>李芯怡，车阿大，洪兆富，等</x:v>
      </x:c>
      <x:c r="D13" s="8" t="n">
        <x:v>2026</x:v>
      </x:c>
      <x:c r="E13" s="7" t="str">
        <x:v>动态博弈与成本分担契约分析</x:v>
      </x:c>
      <x:c r="F13" s="7" t="str">
        <x:v>强制回收率、单位补贴、合作契约；公开摘要</x:v>
      </x:c>
      <x:c r="G13" s="7" t="str">
        <x:v>规制与合作的条件性收益</x:v>
      </x:c>
      <x:c r="H13" s="7" t="str">
        <x:v>动态博弈分析强制回收率、单位补贴及成本分担契约的条件性影响。</x:v>
      </x:c>
      <x:c r="I13" s="7" t="str">
        <x:v>部分收益机制含梯次利用假设；须结合2026年7月政策重新解释，模型条件不当作实际阈值。</x:v>
      </x:c>
      <x:c r="J13" s="7" t="str">
        <x:v>联系2026年7月调整重审梯次收益假设；不移用模型阈值</x:v>
      </x:c>
      <x:c r="K13" s="7" t="str">
        <x:v>出版社公开摘要、题录及录用日期</x:v>
      </x:c>
      <x:c r="L13" s="7" t="str">
        <x:v>2.3</x:v>
      </x:c>
    </x:row>
    <x:row r="14" ht="88" customHeight="1">
      <x:c r="A14" s="7" t="str">
        <x:v>L13</x:v>
      </x:c>
      <x:c r="B14" s="8" t="n">
        <x:v>29</x:v>
      </x:c>
      <x:c r="C14" s="7" t="str">
        <x:v>Losa R, Torjesen S</x:v>
      </x:c>
      <x:c r="D14" s="8" t="n">
        <x:v>2025</x:v>
      </x:c>
      <x:c r="E14" s="7" t="str">
        <x:v>相关者访谈及文献政策分析</x:v>
      </x:c>
      <x:c r="F14" s="7" t="str">
        <x:v>35名产业相关者；欧洲；公开摘要及机构记录</x:v>
      </x:c>
      <x:c r="G14" s="7" t="str">
        <x:v>数字电池护照实施与信息可得性</x:v>
      </x:c>
      <x:c r="H14" s="7" t="str">
        <x:v>基于35名产业相关者访谈及文献政策材料，指出数字护照实施及循环利用信息可得性问题。</x:v>
      </x:c>
      <x:c r="I14" s="7" t="str">
        <x:v>欧洲情境中的定性证据；不能替代中国企业运行数据或量化政策效果。</x:v>
      </x:c>
      <x:c r="J14" s="7" t="str">
        <x:v>围绕具体决策确定必要信息；不转写为中国政策实测</x:v>
      </x:c>
      <x:c r="K14" s="7" t="str">
        <x:v>出版社公开摘要；作者机构记录；Crossref元数据</x:v>
      </x:c>
      <x:c r="L14" s="7" t="str">
        <x:v>2.4</x:v>
      </x:c>
    </x:row>
    <x:row r="15" ht="88" customHeight="1">
      <x:c r="A15" s="7" t="str">
        <x:v>L14</x:v>
      </x:c>
      <x:c r="B15" s="8" t="n">
        <x:v>30</x:v>
      </x:c>
      <x:c r="C15" s="7" t="str">
        <x:v>Popowicz M, Pohlmann A, Schöggl J P, et al.</x:v>
      </x:c>
      <x:c r="D15" s="8" t="n">
        <x:v>2025</x:v>
      </x:c>
      <x:c r="E15" s="7" t="str">
        <x:v>消费者信息需求与护照使用研究</x:v>
      </x:c>
      <x:c r="F15" s="7" t="str">
        <x:v>技术兴趣较强的论坛自愿参与者；本次未核实样本量</x:v>
      </x:c>
      <x:c r="G15" s="7" t="str">
        <x:v>消费端信息供给与使用</x:v>
      </x:c>
      <x:c r="H15" s="7" t="str">
        <x:v>从消费者信息需求与使用视角研究数字电池护照；提示信息呈现需适配使用者。</x:v>
      </x:c>
      <x:c r="I15" s="7" t="str">
        <x:v>技术兴趣较强的论坛自愿参与者限制样本代表性；消费端信息需求不同于监管核查需求。</x:v>
      </x:c>
      <x:c r="J15" s="7" t="str">
        <x:v>区分公众查询、业务使用和监管核查；保留样本边界</x:v>
      </x:c>
      <x:c r="K15" s="7" t="str">
        <x:v>出版社公开正文片段及摘要；Crossref元数据</x:v>
      </x:c>
      <x:c r="L15" s="7" t="str">
        <x:v>2.4</x:v>
      </x:c>
    </x:row>
    <x:row r="16" ht="88" customHeight="1">
      <x:c r="A16" s="7" t="str">
        <x:v>L15</x:v>
      </x:c>
      <x:c r="B16" s="8" t="n">
        <x:v>33</x:v>
      </x:c>
      <x:c r="C16" s="7" t="str">
        <x:v>Adewumi等</x:v>
      </x:c>
      <x:c r="D16" s="8" t="n">
        <x:v>2026</x:v>
      </x:c>
      <x:c r="E16" s="7" t="str">
        <x:v>合成基准；22种语言模型分类比较</x:v>
      </x:c>
      <x:c r="F16" s="7" t="str">
        <x:v>12000条由试点护照生成的合成记录</x:v>
      </x:c>
      <x:c r="G16" s="7" t="str">
        <x:v>数字电池护照格式/符合性分类</x:v>
      </x:c>
      <x:c r="H16" s="7" t="str">
        <x:v>将护照符合性转为可比较的模型任务，提示字段及一致性校验的可研究性。</x:v>
      </x:c>
      <x:c r="I16" s="7" t="str">
        <x:v>预印本；合成数据并非中国企业事件；自动分类不能替代实物核验。</x:v>
      </x:c>
      <x:c r="J16" s="7" t="str">
        <x:v>自动校验先用于字段与逻辑，时限及真实流向仍依条款和业务凭证核查</x:v>
      </x:c>
      <x:c r="K16" s="7" t="str">
        <x:v>作者预印本全文；未核实期刊发表</x:v>
      </x:c>
      <x:c r="L16" s="7" t="str">
        <x:v>2.4；5.6</x:v>
      </x:c>
    </x:row>
    <x:row r="17" ht="88" customHeight="1">
      <x:c r="A17" s="7" t="str">
        <x:v>L16</x:v>
      </x:c>
      <x:c r="B17" s="8" t="n">
        <x:v>13</x:v>
      </x:c>
      <x:c r="C17" s="7" t="str">
        <x:v>TEMBO P M, DYER C, SUBRAMANIAN V</x:v>
      </x:c>
      <x:c r="D17" s="8" t="n">
        <x:v>2024</x:v>
      </x:c>
      <x:c r="E17" s="7" t="str">
        <x:v>技术—经济—政策综述</x:v>
      </x:c>
      <x:c r="F17" s="7" t="str">
        <x:v>见原文研究边界；本研究核验层级：公开全文及Fig.7；图注与CC BY 4.0核验</x:v>
      </x:c>
      <x:c r="G17" s="7" t="str">
        <x:v>工程操作与系统评价</x:v>
      </x:c>
      <x:c r="H17" s="7" t="str">
        <x:v>比较回收工艺、经济与政策；Fig.7给出直接再生流程示例。</x:v>
      </x:c>
      <x:c r="I17" s="7" t="str">
        <x:v>跨地区综述及示意图不能确定中国当前合法用途，也不能代替工厂能耗清单。</x:v>
      </x:c>
      <x:c r="J17" s="7" t="str">
        <x:v>将参数对应至国标或地方标准，分别设置来源、边界与情景值；模型保持可复算。</x:v>
      </x:c>
      <x:c r="K17" s="7" t="str">
        <x:v>公开全文及Fig.7；图注与CC BY 4.0核验</x:v>
      </x:c>
      <x:c r="L17" s="7" t="str">
        <x:v>2.1</x:v>
      </x:c>
    </x:row>
    <x:row r="18" ht="88" customHeight="1">
      <x:c r="A18" s="7" t="str">
        <x:v>L17</x:v>
      </x:c>
      <x:c r="B18" s="8" t="n">
        <x:v>27</x:v>
      </x:c>
      <x:c r="C18" s="7" t="str">
        <x:v>SCHLOTT L, GUTSCH M, LEKER J</x:v>
      </x:c>
      <x:c r="D18" s="8" t="n">
        <x:v>2025</x:v>
      </x:c>
      <x:c r="E18" s="7" t="str">
        <x:v>回收成本模型综述</x:v>
      </x:c>
      <x:c r="F18" s="7" t="str">
        <x:v>见原文研究边界；本研究核验层级：出版社题录、摘要与公开要点</x:v>
      </x:c>
      <x:c r="G18" s="7" t="str">
        <x:v>工程操作与系统评价</x:v>
      </x:c>
      <x:c r="H18" s="7" t="str">
        <x:v>成本综述发现运输、拆解与资本投入等口径遗漏影响路线比较。</x:v>
      </x:c>
      <x:c r="I18" s="7" t="str">
        <x:v>本次使用公开摘要与要点；不移植其成本区间为中国本地回收价格。</x:v>
      </x:c>
      <x:c r="J18" s="7" t="str">
        <x:v>将参数对应至国标或地方标准，分别设置来源、边界与情景值；模型保持可复算。</x:v>
      </x:c>
      <x:c r="K18" s="7" t="str">
        <x:v>出版社题录、摘要与公开要点</x:v>
      </x:c>
      <x:c r="L18" s="7" t="str">
        <x:v>2.3；4.4.2</x:v>
      </x:c>
    </x:row>
    <x:row r="19" ht="88" customHeight="1">
      <x:c r="A19" s="7" t="str">
        <x:v>L18</x:v>
      </x:c>
      <x:c r="B19" s="8" t="n">
        <x:v>14</x:v>
      </x:c>
      <x:c r="C19" s="7" t="str">
        <x:v>谢红伟, 时玮, 陈诗荣, 等</x:v>
      </x:c>
      <x:c r="D19" s="8" t="n">
        <x:v>2025</x:v>
      </x:c>
      <x:c r="E19" s="7" t="str">
        <x:v>模型—测试—算法方法综述</x:v>
      </x:c>
      <x:c r="F19" s="7" t="str">
        <x:v>见原文研究边界；本研究核验层级：期刊官网摘要、公开图表及题录</x:v>
      </x:c>
      <x:c r="G19" s="7" t="str">
        <x:v>工程操作与系统评价</x:v>
      </x:c>
      <x:c r="H19" s="7" t="str">
        <x:v>从模型—测试—算法讨论容量、内阻、一致性等特征及效率—精度权衡。</x:v>
      </x:c>
      <x:c r="I19" s="7" t="str">
        <x:v>本文只采用方法分类；原综述表中的标准归属与数字须回查标准，不作为新模型阈值。</x:v>
      </x:c>
      <x:c r="J19" s="7" t="str">
        <x:v>将参数对应至国标或地方标准，分别设置来源、边界与情景值；模型保持可复算。</x:v>
      </x:c>
      <x:c r="K19" s="7" t="str">
        <x:v>期刊官网摘要、公开图表及题录</x:v>
      </x:c>
      <x:c r="L19" s="7" t="str">
        <x:v>2.1；4.4.1</x:v>
      </x:c>
    </x:row>
    <x:row r="20" ht="88" customHeight="1">
      <x:c r="A20" s="7" t="str">
        <x:v>L19</x:v>
      </x:c>
      <x:c r="B20" s="8" t="n">
        <x:v>15</x:v>
      </x:c>
      <x:c r="C20" s="7" t="str">
        <x:v>MACHALA M L, CHEN X, BUNKE S P, et al.</x:v>
      </x:c>
      <x:c r="D20" s="8" t="n">
        <x:v>2025</x:v>
      </x:c>
      <x:c r="E20" s="7" t="str">
        <x:v>工业运营数据及生命周期比较</x:v>
      </x:c>
      <x:c r="F20" s="7" t="str">
        <x:v>见原文研究边界；本研究核验层级：出版社开放全文</x:v>
      </x:c>
      <x:c r="G20" s="7" t="str">
        <x:v>工程操作与系统评价</x:v>
      </x:c>
      <x:c r="H20" s="7" t="str">
        <x:v>以工业运营数据、同功能单位比较再生与原生供应；用电来源影响环境表现。</x:v>
      </x:c>
      <x:c r="I20" s="7" t="str">
        <x:v>美国特定企业2021运营边界和NCA当量功能单位不能直接替代中国2026每吨进料排放。</x:v>
      </x:c>
      <x:c r="J20" s="7" t="str">
        <x:v>将参数对应至国标或地方标准，分别设置来源、边界与情景值；模型保持可复算。</x:v>
      </x:c>
      <x:c r="K20" s="7" t="str">
        <x:v>出版社开放全文</x:v>
      </x:c>
      <x:c r="L20" s="7" t="str">
        <x:v>2.1；4.4.4</x:v>
      </x:c>
    </x:row>
    <x:row r="21" ht="88" customHeight="1">
      <x:c r="A21" s="7" t="str">
        <x:v>L20</x:v>
      </x:c>
      <x:c r="B21" s="8" t="n">
        <x:v>22</x:v>
      </x:c>
      <x:c r="C21" s="7" t="str">
        <x:v>ZHANG B, XIN Q, CHEN S, et al.</x:v>
      </x:c>
      <x:c r="D21" s="8" t="n">
        <x:v>2025</x:v>
      </x:c>
      <x:c r="E21" s="7" t="str">
        <x:v>中国情景、物质流与区位经济环境综合模型</x:v>
      </x:c>
      <x:c r="F21" s="7" t="str">
        <x:v>见原文研究边界；本研究核验层级：出版社开放全文</x:v>
      </x:c>
      <x:c r="G21" s="7" t="str">
        <x:v>工程操作与系统评价</x:v>
      </x:c>
      <x:c r="H21" s="7" t="str">
        <x:v>连接中国电动车发展、材料需求、收集率、区位与经济环境结果。</x:v>
      </x:c>
      <x:c r="I21" s="7" t="str">
        <x:v>长期情景中的收集目标不属于当前法定要求；宏观结果不能替代网点周转校核。</x:v>
      </x:c>
      <x:c r="J21" s="7" t="str">
        <x:v>将参数对应至国标或地方标准，分别设置来源、边界与情景值；模型保持可复算。</x:v>
      </x:c>
      <x:c r="K21" s="7" t="str">
        <x:v>出版社开放全文</x:v>
      </x:c>
      <x:c r="L21" s="7" t="str">
        <x:v>2.2；4.4.3</x:v>
      </x:c>
    </x:row>
    <x:row r="22" ht="94" customHeight="1">
      <x:c r="A22" s="28" t="str">
        <x:v>L21</x:v>
      </x:c>
      <x:c r="B22" s="28" t="n">
        <x:v>17</x:v>
      </x:c>
      <x:c r="C22" s="28" t="str">
        <x:v>Bräunig等（2025）</x:v>
      </x:c>
      <x:c r="D22" s="28" t="n">
        <x:v>2025</x:v>
      </x:c>
      <x:c r="E22" s="28" t="str">
        <x:v>PRISMA系统综述；31篇拆解与精益管理研究</x:v>
      </x:c>
      <x:c r="F22" s="28" t="str">
        <x:v>31篇科学文献（检索截至2024-12-06）</x:v>
      </x:c>
      <x:c r="G22" s="28" t="str">
        <x:v>拆解效率与工业实施衔接</x:v>
      </x:c>
      <x:c r="H22" s="28" t="str">
        <x:v>局部效率改进较多；工艺标准化、自动化和持续改进的系统整合不足</x:v>
      </x:c>
      <x:c r="I22" s="28" t="str">
        <x:v>检索截至2024-12-06，部分研究局限手工或半自动过程；不提供我国网点入库率或贮存期限</x:v>
      </x:c>
      <x:c r="J22" s="28" t="str">
        <x:v>把周转周期、容量与时间准备参数分开，比较明确扰动对当前约束的影响；不直接移植其样本计数作为政策效应</x:v>
      </x:c>
      <x:c r="K22" s="28" t="str">
        <x:v>出版商开放全文，CC BY 4.0</x:v>
      </x:c>
      <x:c r="L22" s="28" t="str">
        <x:v>2.1</x:v>
      </x:c>
    </x:row>
    <x:row r="23" ht="94" customHeight="1">
      <x:c r="A23" s="28" t="str">
        <x:v>L22</x:v>
      </x:c>
      <x:c r="B23" s="28" t="n">
        <x:v>18</x:v>
      </x:c>
      <x:c r="C23" s="28" t="str">
        <x:v>Anticoi等（2025）</x:v>
      </x:c>
      <x:c r="D23" s="28" t="n">
        <x:v>2025</x:v>
      </x:c>
      <x:c r="E23" s="28" t="str">
        <x:v>退役滑板车电池破碎物的XRF/XRD/LOI/AAS等互补表征与物理分选评价</x:v>
      </x:c>
      <x:c r="F23" s="28" t="str">
        <x:v>特定滑板车电池破碎料及其粒级/分选流股</x:v>
      </x:c>
      <x:c r="G23" s="28" t="str">
        <x:v>物料成分与流程效率评价</x:v>
      </x:c>
      <x:c r="H23" s="28" t="str">
        <x:v>粒级及流股组成不同，互补分析有助于建立处理效率与目标成分的计量基础</x:v>
      </x:c>
      <x:c r="I23" s="28" t="str">
        <x:v>研究对象是特定滑板车破碎料；不是我国新能源汽车总体样本，不构成实际社会回收率</x:v>
      </x:c>
      <x:c r="J23" s="28" t="str">
        <x:v>支持按目标元素一致计量进入比例与工序回收率，并用完整Fig.9说明分母和物料差异</x:v>
      </x:c>
      <x:c r="K23" s="28" t="str">
        <x:v>出版商开放全文，CC BY 4.0</x:v>
      </x:c>
      <x:c r="L23" s="28" t="str">
        <x:v>2.1</x:v>
      </x:c>
    </x:row>
  </x:sheetData>
  <x:pageMargins left="0.7" right="0.7" top="0.75" bottom="0.75" header="0.3" footer="0.3"/>
  <x:tableParts count="1">
    <x:tablePart xmlns:r="http://schemas.openxmlformats.org/officeDocument/2006/relationships" r:id="R491d2d9bae4a4788"/>
  </x:tableParts>
</x:worksheet>
</file>

<file path=xl/worksheets/sheet8.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1" hidden="0" customWidth="1"/>
    <x:col min="2" max="2" width="30" hidden="0" customWidth="1"/>
    <x:col min="3" max="3" width="49" hidden="0" customWidth="1"/>
    <x:col min="4" max="4" width="57" hidden="0" customWidth="1"/>
    <x:col min="5" max="5" width="55" hidden="0" customWidth="1"/>
    <x:col min="6" max="6" width="51" hidden="0" customWidth="1"/>
    <x:col min="7" max="7" width="51" hidden="0" customWidth="1"/>
    <x:col min="8" max="8" width="28" hidden="0" customWidth="1"/>
    <x:col min="9" max="9" width="18" hidden="0" customWidth="1"/>
    <x:col min="10" max="10" width="62" hidden="0" customWidth="1"/>
  </x:cols>
  <x:sheetData>
    <x:row r="1" ht="32" customHeight="1">
      <x:c r="A1" s="5" t="str">
        <x:v>方向ID</x:v>
      </x:c>
      <x:c r="B1" s="5" t="str">
        <x:v>研究方向</x:v>
      </x:c>
      <x:c r="C1" s="5" t="str">
        <x:v>具体问题</x:v>
      </x:c>
      <x:c r="D1" s="5" t="str">
        <x:v>可获取资料</x:v>
      </x:c>
      <x:c r="E1" s="5" t="str">
        <x:v>可行方法</x:v>
      </x:c>
      <x:c r="F1" s="5" t="str">
        <x:v>预期成果</x:v>
      </x:c>
      <x:c r="G1" s="5" t="str">
        <x:v>无需实地调查的可行性</x:v>
      </x:c>
      <x:c r="H1" s="5" t="str">
        <x:v>相关来源ID</x:v>
      </x:c>
      <x:c r="I1" s="5" t="str">
        <x:v>正文位置</x:v>
      </x:c>
      <x:c r="J1" s="5" t="str">
        <x:v>必要条件与限制</x:v>
      </x:c>
    </x:row>
    <x:row r="2" ht="80" customHeight="1">
      <x:c r="A2" s="7" t="str">
        <x:v>R01</x:v>
      </x:c>
      <x:c r="B2" s="7" t="str">
        <x:v>配套细则与政策版本</x:v>
      </x:c>
      <x:c r="C2" s="7" t="str">
        <x:v>数字身份证如何落实为字段、权限与更新规则</x:v>
      </x:c>
      <x:c r="D2" s="7" t="str">
        <x:v>工信部等正式文件；9月标准体系草案及后续正式稿</x:v>
      </x:c>
      <x:c r="E2" s="7" t="str">
        <x:v>版本比较；主体—事件—字段编码</x:v>
      </x:c>
      <x:c r="F2" s="7" t="str">
        <x:v>政策差异表与事件字典</x:v>
      </x:c>
      <x:c r="G2" s="7" t="str">
        <x:v>可直接以公开资料推进</x:v>
      </x:c>
      <x:c r="H2" s="7" t="str">
        <x:v>P09；P17；P18；I01</x:v>
      </x:c>
      <x:c r="I2" s="7" t="str">
        <x:v>6.2第1段</x:v>
      </x:c>
      <x:c r="J2" s="7" t="str">
        <x:v>规则尚未公布部分保留待定，不补写技术细则</x:v>
      </x:c>
    </x:row>
    <x:row r="3" ht="80" customHeight="1">
      <x:c r="A3" s="7" t="str">
        <x:v>R02</x:v>
      </x:c>
      <x:c r="B3" s="7" t="str">
        <x:v>地方实施比较</x:v>
      </x:c>
      <x:c r="C3" s="7" t="str">
        <x:v>国家要求如何转化为地区服务与部门协作</x:v>
      </x:c>
      <x:c r="D3" s="7" t="str">
        <x:v>湖南、北京及10月地方执行公告；后续监管通报</x:v>
      </x:c>
      <x:c r="E3" s="7" t="str">
        <x:v>目的性样本；统一编码；逐项核对公开程度</x:v>
      </x:c>
      <x:c r="F3" s="7" t="str">
        <x:v>地区政策对照与问题清单</x:v>
      </x:c>
      <x:c r="G3" s="7" t="str">
        <x:v>可公开资料研究；资料缺失须单列</x:v>
      </x:c>
      <x:c r="H3" s="7" t="str">
        <x:v>P19；P20；P22；P23</x:v>
      </x:c>
      <x:c r="I3" s="7" t="str">
        <x:v>6.2第2段</x:v>
      </x:c>
      <x:c r="J3" s="7" t="str">
        <x:v>公开不足不直接视为政策缺位</x:v>
      </x:c>
    </x:row>
    <x:row r="4" ht="80" customHeight="1">
      <x:c r="A4" s="7" t="str">
        <x:v>R03</x:v>
      </x:c>
      <x:c r="B4" s="7" t="str">
        <x:v>交接信息可核验性</x:v>
      </x:c>
      <x:c r="C4" s="7" t="str">
        <x:v>未匹配来自时间差、识别错误还是待核查行为</x:v>
      </x:c>
      <x:c r="D4" s="7" t="str">
        <x:v>匿名化流转记录；不足时先用公开案例</x:v>
      </x:c>
      <x:c r="E4" s="7" t="str">
        <x:v>分类对账；时滞边际分布与依赖结构校准；有时间戳后处理右删失</x:v>
      </x:c>
      <x:c r="F4" s="7" t="str">
        <x:v>报送时效、匹配规则及经真实事件检验的窗口模型</x:v>
      </x:c>
      <x:c r="G4" s="7" t="str">
        <x:v>需可靠记录；可先公开案例检验</x:v>
      </x:c>
      <x:c r="H4" s="7" t="str">
        <x:v>P09；L03；L13</x:v>
      </x:c>
      <x:c r="I4" s="7" t="str">
        <x:v>6.2第3段</x:v>
      </x:c>
      <x:c r="J4" s="7" t="str">
        <x:v>没有时间戳不拟合真实分布；情景概率不作违规率；预警不等于违法</x:v>
      </x:c>
    </x:row>
    <x:row r="5" ht="80" customHeight="1">
      <x:c r="A5" s="7" t="str">
        <x:v>R04</x:v>
      </x:c>
      <x:c r="B5" s="7" t="str">
        <x:v>政策效果识别</x:v>
      </x:c>
      <x:c r="C5" s="7" t="str">
        <x:v>规则是否改变合规交投及资源环境结果</x:v>
      </x:c>
      <x:c r="D5" s="7" t="str">
        <x:v>可比地区/企业长期数据、政策差异、同期政策</x:v>
      </x:c>
      <x:c r="E5" s="7" t="str">
        <x:v>具备条件再用准实验；否则描述性追踪</x:v>
      </x:c>
      <x:c r="F5" s="7" t="str">
        <x:v>限定识别条件的效果评估或趋势分析</x:v>
      </x:c>
      <x:c r="G5" s="7" t="str">
        <x:v>无需现场调查；因果研究依赖数据条件</x:v>
      </x:c>
      <x:c r="H5" s="7" t="str">
        <x:v>L05；P09</x:v>
      </x:c>
      <x:c r="I5" s="7" t="str">
        <x:v>6.2第4段</x:v>
      </x:c>
      <x:c r="J5" s="7" t="str">
        <x:v>全国统一施行不自动提供适当对照组</x:v>
      </x:c>
    </x:row>
    <x:row r="6" ht="80" customHeight="1">
      <x:c r="A6" s="7" t="str">
        <x:v>R05</x:v>
      </x:c>
      <x:c r="B6" s="7" t="str">
        <x:v>技术经济异质性</x:v>
      </x:c>
      <x:c r="C6" s="7" t="str">
        <x:v>哪些成本可经信息与设计改进降低</x:v>
      </x:c>
      <x:c r="D6" s="7" t="str">
        <x:v>公开专利、企业定期报告、工艺与环境评价文献</x:v>
      </x:c>
      <x:c r="E6" s="7" t="str">
        <x:v>专利功能拆解；中试证据比较；成本与质量边界核查</x:v>
      </x:c>
      <x:c r="F6" s="7" t="str">
        <x:v>分电池体系/工艺的条件性政策解释</x:v>
      </x:c>
      <x:c r="G6" s="7" t="str">
        <x:v>公开资料可先研究；不确定项保留范围</x:v>
      </x:c>
      <x:c r="H6" s="7" t="str">
        <x:v>K01；K02；K03；K04；P19</x:v>
      </x:c>
      <x:c r="I6" s="7" t="str">
        <x:v>6.2第5段</x:v>
      </x:c>
      <x:c r="J6" s="7" t="str">
        <x:v>区分实际数据、文献参数与假设</x:v>
      </x:c>
    </x:row>
    <x:row r="7" ht="80" customHeight="1">
      <x:c r="A7" s="7" t="str">
        <x:v>R06</x:v>
      </x:c>
      <x:c r="B7" s="7" t="str">
        <x:v>国际兼容及环境边界</x:v>
      </x:c>
      <x:c r="C7" s="7" t="str">
        <x:v>数据互操作如何连接实际资源环境评价</x:v>
      </x:c>
      <x:c r="D7" s="7" t="str">
        <x:v>欧盟法规、官方技术项目、公开标准及LCA文献</x:v>
      </x:c>
      <x:c r="E7" s="7" t="str">
        <x:v>字段语义与权限比较；统一功能单位及核算边界</x:v>
      </x:c>
      <x:c r="F7" s="7" t="str">
        <x:v>制度差异表；边界明确的环境评价</x:v>
      </x:c>
      <x:c r="G7" s="7" t="str">
        <x:v>可资料研究；量化前核对数据可比性</x:v>
      </x:c>
      <x:c r="H7" s="7" t="str">
        <x:v>I01；I02；L08；L09</x:v>
      </x:c>
      <x:c r="I7" s="7" t="str">
        <x:v>6.2第6段</x:v>
      </x:c>
      <x:c r="J7" s="7" t="str">
        <x:v>信息互通、材料回收和环境受益分别测量</x:v>
      </x:c>
    </x:row>
  </x:sheetData>
  <x:pageMargins left="0.7" right="0.7" top="0.75" bottom="0.75" header="0.3" footer="0.3"/>
  <x:tableParts count="1">
    <x:tablePart xmlns:r="http://schemas.openxmlformats.org/officeDocument/2006/relationships" r:id="Rc2c06690f3064014"/>
  </x:tableParts>
</x:worksheet>
</file>

<file path=xl/worksheets/sheet9.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9" hidden="0" customWidth="1"/>
    <x:col min="2" max="2" width="57" hidden="0" customWidth="1"/>
    <x:col min="3" max="3" width="64" hidden="0" customWidth="1"/>
    <x:col min="4" max="4" width="15" hidden="0" customWidth="1"/>
    <x:col min="5" max="5" width="71" hidden="0" customWidth="1"/>
  </x:cols>
  <x:sheetData>
    <x:row r="1" ht="32" customHeight="1">
      <x:c r="A1" s="5" t="str">
        <x:v>检查项</x:v>
      </x:c>
      <x:c r="B1" s="5" t="str">
        <x:v>模板或采用规则</x:v>
      </x:c>
      <x:c r="C1" s="5" t="str">
        <x:v>修订后核对结果</x:v>
      </x:c>
      <x:c r="D1" s="5" t="str">
        <x:v>状态</x:v>
      </x:c>
      <x:c r="E1" s="5" t="str">
        <x:v>说明</x:v>
      </x:c>
    </x:row>
    <x:row r="2" ht="58" customHeight="1">
      <x:c r="A2" s="7" t="str">
        <x:v>页面与页边距</x:v>
      </x:c>
      <x:c r="B2" s="7" t="str">
        <x:v>保留课程模板A4及两节页边距</x:v>
      </x:c>
      <x:c r="C2" s="7" t="str">
        <x:v>两节页面尺寸、上下及左右边距逐项一致</x:v>
      </x:c>
      <x:c r="D2" s="7" t="str">
        <x:v>通过</x:v>
      </x:c>
      <x:c r="E2" s="7"/>
    </x:row>
    <x:row r="3" ht="58" customHeight="1">
      <x:c r="A3" s="7" t="str">
        <x:v>正文中文字体</x:v>
      </x:c>
      <x:c r="B3" s="7" t="str">
        <x:v>宋体，小四（12 pt）</x:v>
      </x:c>
      <x:c r="C3" s="7" t="str">
        <x:v>新增与原有正文段落逐段核对宋体12 pt</x:v>
      </x:c>
      <x:c r="D3" s="7" t="str">
        <x:v>通过</x:v>
      </x:c>
      <x:c r="E3" s="7"/>
    </x:row>
    <x:row r="4" ht="58" customHeight="1">
      <x:c r="A4" s="7" t="str">
        <x:v>正文西文字体</x:v>
      </x:c>
      <x:c r="B4" s="7" t="str">
        <x:v>Times New Roman，与中文字号一致</x:v>
      </x:c>
      <x:c r="C4" s="7" t="str">
        <x:v>所有正文非上标文字均显式指定Times New Roman</x:v>
      </x:c>
      <x:c r="D4" s="7" t="str">
        <x:v>通过</x:v>
      </x:c>
      <x:c r="E4" s="7"/>
    </x:row>
    <x:row r="5" ht="58" customHeight="1">
      <x:c r="A5" s="7" t="str">
        <x:v>正文行距</x:v>
      </x:c>
      <x:c r="B5" s="7" t="str">
        <x:v>1.5倍行距：line=360，lineRule=auto</x:v>
      </x:c>
      <x:c r="C5" s="7" t="str">
        <x:v>逐段检查实际段落属性；原生1.5倍属性核对通过</x:v>
      </x:c>
      <x:c r="D5" s="7" t="str">
        <x:v>通过</x:v>
      </x:c>
      <x:c r="E5" s="7"/>
    </x:row>
    <x:row r="6" ht="58" customHeight="1">
      <x:c r="A6" s="7" t="str">
        <x:v>正文缩进与对齐</x:v>
      </x:c>
      <x:c r="B6" s="7" t="str">
        <x:v>首行2字符；两端对齐；段前段后0</x:v>
      </x:c>
      <x:c r="C6" s="7" t="str">
        <x:v>缩进firstLineChars=200；无空格模拟缩进</x:v>
      </x:c>
      <x:c r="D6" s="7" t="str">
        <x:v>通过</x:v>
      </x:c>
      <x:c r="E6" s="7"/>
    </x:row>
    <x:row r="7" ht="58" customHeight="1">
      <x:c r="A7" s="7" t="str">
        <x:v>各级标题</x:v>
      </x:c>
      <x:c r="B7" s="7" t="str">
        <x:v>一级16 pt加粗；二、三级12 pt加粗；三级缩进0.35 cm</x:v>
      </x:c>
      <x:c r="C7" s="7" t="str">
        <x:v>六章保留；第4章归为四组，组内采用三级标题</x:v>
      </x:c>
      <x:c r="D7" s="7" t="str">
        <x:v>通过</x:v>
      </x:c>
      <x:c r="E7" s="7"/>
    </x:row>
    <x:row r="8" ht="58" customHeight="1">
      <x:c r="A8" s="7" t="str">
        <x:v>封面题名</x:v>
      </x:c>
      <x:c r="B8" s="7" t="str">
        <x:v>保留模板黑体二号22 pt</x:v>
      </x:c>
      <x:c r="C8" s="7" t="str">
        <x:v>主副题均恢复22 pt，封面栏目保留</x:v>
      </x:c>
      <x:c r="D8" s="7" t="str">
        <x:v>通过</x:v>
      </x:c>
      <x:c r="E8" s="7"/>
    </x:row>
    <x:row r="9" ht="58" customHeight="1">
      <x:c r="A9" s="7" t="str">
        <x:v>模板表单与校徽</x:v>
      </x:c>
      <x:c r="B9" s="7" t="str">
        <x:v>保留14张原表、校徽及表单栏目</x:v>
      </x:c>
      <x:c r="C9" s="7" t="str">
        <x:v>原表数量保留，另加9张分析表；个人与活动信息未虚构</x:v>
      </x:c>
      <x:c r="D9" s="7" t="str">
        <x:v>通过</x:v>
      </x:c>
      <x:c r="E9" s="7"/>
    </x:row>
    <x:row r="10" ht="58" customHeight="1">
      <x:c r="A10" s="7" t="str">
        <x:v>图表题注</x:v>
      </x:c>
      <x:c r="B10" s="7" t="str">
        <x:v>图题置下、表题置上；来源与注释另段</x:v>
      </x:c>
      <x:c r="C10" s="7" t="str">
        <x:v>17幅图、9张分析表依首次出现编号；图表来源与正文分开</x:v>
      </x:c>
      <x:c r="D10" s="7" t="str">
        <x:v>通过</x:v>
      </x:c>
      <x:c r="E10" s="7" t="str">
        <x:v>分析表采用三线式；图片和题注相邻。</x:v>
      </x:c>
    </x:row>
    <x:row r="11" ht="58" customHeight="1">
      <x:c r="A11" s="7" t="str">
        <x:v>参考文献</x:v>
      </x:c>
      <x:c r="B11" s="7" t="str">
        <x:v>正文首次出现连续编号；文后悬挂缩进</x:v>
      </x:c>
      <x:c r="C11" s="7" t="str">
        <x:v>73条文献与资料ID一一对应，文后保留原文超链接</x:v>
      </x:c>
      <x:c r="D11" s="7" t="str">
        <x:v>通过</x:v>
      </x:c>
      <x:c r="E11" s="7" t="str">
        <x:v>Excel保存完整URL、DOI及核验层级。</x:v>
      </x:c>
    </x:row>
    <x:row r="12" ht="58" customHeight="1">
      <x:c r="A12" s="7" t="str">
        <x:v>研究段落组织</x:v>
      </x:c>
      <x:c r="B12" s="7" t="str">
        <x:v>一段围绕一个主要论点，依据—解释—研究启示</x:v>
      </x:c>
      <x:c r="C12" s="7" t="str">
        <x:v>文献评述按技术、政策、行为、数字治理分组，明确不足与回应</x:v>
      </x:c>
      <x:c r="D12" s="7" t="str">
        <x:v>通过</x:v>
      </x:c>
      <x:c r="E12" s="7" t="str">
        <x:v>借鉴新提供论文的组织方式，不移用其章节字号。</x:v>
      </x:c>
    </x:row>
    <x:row r="13" ht="58" customHeight="1">
      <x:c r="A13" s="7" t="str">
        <x:v>预览字体替代</x:v>
      </x:c>
      <x:c r="B13" s="7" t="str">
        <x:v>文档储存模板字体名；预览采用可用等价字体</x:v>
      </x:c>
      <x:c r="C13" s="7" t="str">
        <x:v>正文宋体属性正确；本机渲染使用开源FandolSong</x:v>
      </x:c>
      <x:c r="D13" s="7" t="str">
        <x:v>通过</x:v>
      </x:c>
      <x:c r="E13" s="7" t="str">
        <x:v>本机未装Windows原版宋体/华文隶书；封面相应字体预览替代。</x:v>
      </x:c>
    </x:row>
    <x:row r="14" ht="58" customHeight="1">
      <x:c r="A14" s="7" t="str">
        <x:v>可编辑公式</x:v>
      </x:c>
      <x:c r="B14" s="7" t="str">
        <x:v>11个原生Office Math对象；按首次出现连续编号</x:v>
      </x:c>
      <x:c r="C14" s="7" t="str">
        <x:v>11个原生公式；变量及积分、求和、分式可编辑</x:v>
      </x:c>
      <x:c r="D14" s="7" t="str">
        <x:v>通过</x:v>
      </x:c>
      <x:c r="E14" s="7"/>
    </x:row>
    <x:row r="15" ht="58" customHeight="1">
      <x:c r="A15" s="7" t="str">
        <x:v>数理证据边界</x:v>
      </x:c>
      <x:c r="B15" s="7" t="str">
        <x:v>确定性规则、条件情景与实测结果分开</x:v>
      </x:c>
      <x:c r="C15" s="7" t="str">
        <x:v>描述性统计无显著性检验；模型琴形和分位区间非企业实测或置信区间</x:v>
      </x:c>
      <x:c r="D15" s="7" t="str">
        <x:v>通过</x:v>
      </x:c>
      <x:c r="E15" s="7"/>
    </x:row>
    <x:row r="16" ht="58" customHeight="1">
      <x:c r="A16" s="7" t="str">
        <x:v>页码与目录</x:v>
      </x:c>
      <x:c r="B16" s="7" t="str">
        <x:v>封面不编号，其后连续编号；目录与当前稿一致</x:v>
      </x:c>
      <x:c r="C16" s="7" t="str">
        <x:v>页码改为居中原生PAGE域；目录页码逐条核对</x:v>
      </x:c>
      <x:c r="D16" s="7" t="str">
        <x:v>通过</x:v>
      </x:c>
      <x:c r="E16" s="7" t="str">
        <x:v>修正原模板浮动文本框导致页码偏左的问题；目录按当前稿校核。</x:v>
      </x:c>
    </x:row>
    <x:row r="17" ht="58" customHeight="1">
      <x:c r="A17" s="7" t="str">
        <x:v>图表字体及分页</x:v>
      </x:c>
      <x:c r="B17" s="7" t="str">
        <x:v>图表题注五号10.5 pt；分析表10.5 pt；同表不拆单行</x:v>
      </x:c>
      <x:c r="C17" s="7" t="str">
        <x:v>17幅图、9张表题注字号与对齐一致；三线表完整呈现</x:v>
      </x:c>
      <x:c r="D17" s="7" t="str">
        <x:v>通过</x:v>
      </x:c>
      <x:c r="E17" s="7" t="str">
        <x:v>新增分析表保留来源；原14张课程表单不作数据分析表改排。</x:v>
      </x:c>
    </x:row>
    <x:row r="18" ht="58" customHeight="1">
      <x:c r="A18" s="7" t="str">
        <x:v>文后字体与悬挂</x:v>
      </x:c>
      <x:c r="B18" s="7" t="str">
        <x:v>参考文献宋体/Times New Roman 10.5 pt，悬挂缩进</x:v>
      </x:c>
      <x:c r="C18" s="7" t="str">
        <x:v>73条文献及原文链接字号一致，均采用悬挂缩进</x:v>
      </x:c>
      <x:c r="D18" s="7" t="str">
        <x:v>通过</x:v>
      </x:c>
      <x:c r="E18" s="7" t="str">
        <x:v>完整URL与DOI同时保存在资料库，Word保留可点击原文链接。</x:v>
      </x:c>
    </x:row>
  </x:sheetData>
  <x:pageMargins left="0.7" right="0.7" top="0.75" bottom="0.75" header="0.3" footer="0.3"/>
  <x:tableParts count="1">
    <x:tablePart xmlns:r="http://schemas.openxmlformats.org/officeDocument/2006/relationships" r:id="R890b78e6124d4f5a"/>
  </x:tableParts>
</x:worksheet>
</file>

<file path=xl/worksheets/sheet10.xml><?xml version="1.0" encoding="utf-8"?>
<x:worksheet xmlns:x="http://schemas.openxmlformats.org/spreadsheetml/2006/main">
  <x:sheetPr>
    <x:tabColor rgb="FF285E43"/>
  </x:sheetPr>
  <x:sheetViews>
    <x:sheetView showGridLines="0" workbookViewId="0">
      <x:pane xSplit="2" ySplit="1" topLeftCell="C2" activePane="bottomRight" state="frozen"/>
    </x:sheetView>
  </x:sheetViews>
  <x:sheetFormatPr defaultRowHeight="15"/>
  <x:cols>
    <x:col min="1" max="1" width="11" hidden="0" customWidth="1"/>
    <x:col min="2" max="2" width="10" hidden="0" customWidth="1"/>
    <x:col min="3" max="3" width="25" hidden="0" customWidth="1"/>
    <x:col min="4" max="4" width="53" hidden="0" customWidth="1"/>
    <x:col min="5" max="5" width="14" hidden="0" customWidth="1"/>
    <x:col min="6" max="6" width="14" hidden="0" customWidth="1"/>
    <x:col min="7" max="7" width="14" hidden="0" customWidth="1"/>
    <x:col min="8" max="8" width="14" hidden="0" customWidth="1"/>
    <x:col min="9" max="9" width="17" hidden="0" customWidth="1"/>
    <x:col min="10" max="10" width="17" hidden="0" customWidth="1"/>
    <x:col min="11" max="11" width="64" hidden="0" customWidth="1"/>
  </x:cols>
  <x:sheetData>
    <x:row r="1" ht="32" customHeight="1">
      <x:c r="A1" s="5" t="str">
        <x:v>记录ID</x:v>
      </x:c>
      <x:c r="B1" s="5" t="str">
        <x:v>来源ID</x:v>
      </x:c>
      <x:c r="C1" s="5" t="str">
        <x:v>条款</x:v>
      </x:c>
      <x:c r="D1" s="5" t="str">
        <x:v>依据摘要</x:v>
      </x:c>
      <x:c r="E1" s="5" t="str">
        <x:v>对象识别</x:v>
      </x:c>
      <x:c r="F1" s="5" t="str">
        <x:v>回收责任</x:v>
      </x:c>
      <x:c r="G1" s="5" t="str">
        <x:v>交接流向</x:v>
      </x:c>
      <x:c r="H1" s="5" t="str">
        <x:v>信息规则</x:v>
      </x:c>
      <x:c r="I1" s="5" t="str">
        <x:v>工程安全环保</x:v>
      </x:c>
      <x:c r="J1" s="5" t="str">
        <x:v>监督与衔接</x:v>
      </x:c>
      <x:c r="K1" s="5" t="str">
        <x:v>判定理由</x:v>
      </x:c>
    </x:row>
    <x:row r="2" ht="55" customHeight="1">
      <x:c r="A2" s="7" t="str">
        <x:v>C01</x:v>
      </x:c>
      <x:c r="B2" s="7" t="str">
        <x:v>P09</x:v>
      </x:c>
      <x:c r="C2" s="7" t="str">
        <x:v>第4条</x:v>
      </x:c>
      <x:c r="D2" s="7" t="str">
        <x:v>全生命周期流向追溯</x:v>
      </x:c>
      <x:c r="E2" s="7" t="n">
        <x:v>0</x:v>
      </x:c>
      <x:c r="F2" s="7" t="n">
        <x:v>0</x:v>
      </x:c>
      <x:c r="G2" s="7" t="n">
        <x:v>1</x:v>
      </x:c>
      <x:c r="H2" s="7" t="n">
        <x:v>1</x:v>
      </x:c>
      <x:c r="I2" s="7" t="n">
        <x:v>0</x:v>
      </x:c>
      <x:c r="J2" s="7" t="n">
        <x:v>0</x:v>
      </x:c>
      <x:c r="K2" s="7" t="str">
        <x:v>全生命周期流向追溯同时涉及流向与信息安排。</x:v>
      </x:c>
    </x:row>
    <x:row r="3" ht="55" customHeight="1">
      <x:c r="A3" s="7" t="str">
        <x:v>C02</x:v>
      </x:c>
      <x:c r="B3" s="7" t="str">
        <x:v>P09</x:v>
      </x:c>
      <x:c r="C3" s="7" t="str">
        <x:v>第8、13条</x:v>
      </x:c>
      <x:c r="D3" s="7" t="str">
        <x:v>易拆解设计与必要维修技术信息</x:v>
      </x:c>
      <x:c r="E3" s="7" t="n">
        <x:v>0</x:v>
      </x:c>
      <x:c r="F3" s="7" t="n">
        <x:v>0</x:v>
      </x:c>
      <x:c r="G3" s="7" t="n">
        <x:v>0</x:v>
      </x:c>
      <x:c r="H3" s="7" t="n">
        <x:v>1</x:v>
      </x:c>
      <x:c r="I3" s="7" t="n">
        <x:v>1</x:v>
      </x:c>
      <x:c r="J3" s="7" t="n">
        <x:v>0</x:v>
      </x:c>
      <x:c r="K3" s="7" t="str">
        <x:v>易拆解设计及维修技术信息，分别对应工程与信息要求。</x:v>
      </x:c>
    </x:row>
    <x:row r="4" ht="55" customHeight="1">
      <x:c r="A4" s="7" t="str">
        <x:v>C03</x:v>
      </x:c>
      <x:c r="B4" s="7" t="str">
        <x:v>P09</x:v>
      </x:c>
      <x:c r="C4" s="7" t="str">
        <x:v>第9—11条</x:v>
      </x:c>
      <x:c r="D4" s="7" t="str">
        <x:v>编码、标识及提供必要拆解技术信息</x:v>
      </x:c>
      <x:c r="E4" s="7" t="n">
        <x:v>1</x:v>
      </x:c>
      <x:c r="F4" s="7" t="n">
        <x:v>0</x:v>
      </x:c>
      <x:c r="G4" s="7" t="n">
        <x:v>0</x:v>
      </x:c>
      <x:c r="H4" s="7" t="n">
        <x:v>1</x:v>
      </x:c>
      <x:c r="I4" s="7" t="n">
        <x:v>0</x:v>
      </x:c>
      <x:c r="J4" s="7" t="n">
        <x:v>0</x:v>
      </x:c>
      <x:c r="K4" s="7" t="str">
        <x:v>编码标识与必要拆解信息。</x:v>
      </x:c>
    </x:row>
    <x:row r="5" ht="55" customHeight="1">
      <x:c r="A5" s="7" t="str">
        <x:v>C04</x:v>
      </x:c>
      <x:c r="B5" s="7" t="str">
        <x:v>P09</x:v>
      </x:c>
      <x:c r="C5" s="7" t="str">
        <x:v>第12条</x:v>
      </x:c>
      <x:c r="D5" s="7" t="str">
        <x:v>类别、构成、报废回收等必要信息</x:v>
      </x:c>
      <x:c r="E5" s="7" t="n">
        <x:v>1</x:v>
      </x:c>
      <x:c r="F5" s="7" t="n">
        <x:v>0</x:v>
      </x:c>
      <x:c r="G5" s="7" t="n">
        <x:v>0</x:v>
      </x:c>
      <x:c r="H5" s="7" t="n">
        <x:v>1</x:v>
      </x:c>
      <x:c r="I5" s="7" t="n">
        <x:v>0</x:v>
      </x:c>
      <x:c r="J5" s="7" t="n">
        <x:v>0</x:v>
      </x:c>
      <x:c r="K5" s="7" t="str">
        <x:v>数字身份证识别产品及必要信息。</x:v>
      </x:c>
    </x:row>
    <x:row r="6" ht="55" customHeight="1">
      <x:c r="A6" s="7" t="str">
        <x:v>C05</x:v>
      </x:c>
      <x:c r="B6" s="7" t="str">
        <x:v>P09</x:v>
      </x:c>
      <x:c r="C6" s="7" t="str">
        <x:v>第14条</x:v>
      </x:c>
      <x:c r="D6" s="7" t="str">
        <x:v>承担相应回收责任、设网点并公开信息</x:v>
      </x:c>
      <x:c r="E6" s="7" t="n">
        <x:v>0</x:v>
      </x:c>
      <x:c r="F6" s="7" t="n">
        <x:v>1</x:v>
      </x:c>
      <x:c r="G6" s="7" t="n">
        <x:v>0</x:v>
      </x:c>
      <x:c r="H6" s="7" t="n">
        <x:v>1</x:v>
      </x:c>
      <x:c r="I6" s="7" t="n">
        <x:v>0</x:v>
      </x:c>
      <x:c r="J6" s="7" t="n">
        <x:v>0</x:v>
      </x:c>
      <x:c r="K6" s="7" t="str">
        <x:v>电池企业回收网点责任及公开网点信息。</x:v>
      </x:c>
    </x:row>
    <x:row r="7" ht="55" customHeight="1">
      <x:c r="A7" s="7" t="str">
        <x:v>C06</x:v>
      </x:c>
      <x:c r="B7" s="7" t="str">
        <x:v>P09</x:v>
      </x:c>
      <x:c r="C7" s="7" t="str">
        <x:v>第15条</x:v>
      </x:c>
      <x:c r="D7" s="7" t="str">
        <x:v>装车电池回收责任、网点、流程告知</x:v>
      </x:c>
      <x:c r="E7" s="7" t="n">
        <x:v>0</x:v>
      </x:c>
      <x:c r="F7" s="7" t="n">
        <x:v>1</x:v>
      </x:c>
      <x:c r="G7" s="7" t="n">
        <x:v>0</x:v>
      </x:c>
      <x:c r="H7" s="7" t="n">
        <x:v>1</x:v>
      </x:c>
      <x:c r="I7" s="7" t="n">
        <x:v>0</x:v>
      </x:c>
      <x:c r="J7" s="7" t="n">
        <x:v>0</x:v>
      </x:c>
      <x:c r="K7" s="7" t="str">
        <x:v>车企回收责任、程序及告知信息。</x:v>
      </x:c>
    </x:row>
    <x:row r="8" ht="55" customHeight="1">
      <x:c r="A8" s="7" t="str">
        <x:v>C07</x:v>
      </x:c>
      <x:c r="B8" s="7" t="str">
        <x:v>P09</x:v>
      </x:c>
      <x:c r="C8" s="7" t="str">
        <x:v>第16条</x:v>
      </x:c>
      <x:c r="D8" s="7" t="str">
        <x:v>满足规划、安全、环保等法定要求</x:v>
      </x:c>
      <x:c r="E8" s="7" t="n">
        <x:v>0</x:v>
      </x:c>
      <x:c r="F8" s="7" t="n">
        <x:v>1</x:v>
      </x:c>
      <x:c r="G8" s="7" t="n">
        <x:v>0</x:v>
      </x:c>
      <x:c r="H8" s="7" t="n">
        <x:v>0</x:v>
      </x:c>
      <x:c r="I8" s="7" t="n">
        <x:v>1</x:v>
      </x:c>
      <x:c r="J8" s="7" t="n">
        <x:v>0</x:v>
      </x:c>
      <x:c r="K8" s="7" t="str">
        <x:v>生产者与网点建设责任，配套工程安全环保条件。</x:v>
      </x:c>
    </x:row>
    <x:row r="9" ht="55" customHeight="1">
      <x:c r="A9" s="7" t="str">
        <x:v>C08</x:v>
      </x:c>
      <x:c r="B9" s="7" t="str">
        <x:v>P09</x:v>
      </x:c>
      <x:c r="C9" s="7" t="str">
        <x:v>第17条</x:v>
      </x:c>
      <x:c r="D9" s="7" t="str">
        <x:v>接续责任或提前妥善安排</x:v>
      </x:c>
      <x:c r="E9" s="7" t="n">
        <x:v>0</x:v>
      </x:c>
      <x:c r="F9" s="7" t="n">
        <x:v>1</x:v>
      </x:c>
      <x:c r="G9" s="7" t="n">
        <x:v>0</x:v>
      </x:c>
      <x:c r="H9" s="7" t="n">
        <x:v>0</x:v>
      </x:c>
      <x:c r="I9" s="7" t="n">
        <x:v>0</x:v>
      </x:c>
      <x:c r="J9" s="7" t="n">
        <x:v>0</x:v>
      </x:c>
      <x:c r="K9" s="7" t="str">
        <x:v>组织变动或终止时的回收责任承接。</x:v>
      </x:c>
    </x:row>
    <x:row r="10" ht="55" customHeight="1">
      <x:c r="A10" s="7" t="str">
        <x:v>C09</x:v>
      </x:c>
      <x:c r="B10" s="7" t="str">
        <x:v>P09</x:v>
      </x:c>
      <x:c r="C10" s="7" t="str">
        <x:v>第18条</x:v>
      </x:c>
      <x:c r="D10" s="7" t="str">
        <x:v>投资手续、环评、配套设施、排污许可或登记等</x:v>
      </x:c>
      <x:c r="E10" s="7" t="n">
        <x:v>0</x:v>
      </x:c>
      <x:c r="F10" s="7" t="n">
        <x:v>0</x:v>
      </x:c>
      <x:c r="G10" s="7" t="n">
        <x:v>0</x:v>
      </x:c>
      <x:c r="H10" s="7" t="n">
        <x:v>0</x:v>
      </x:c>
      <x:c r="I10" s="7" t="n">
        <x:v>1</x:v>
      </x:c>
      <x:c r="J10" s="7" t="n">
        <x:v>0</x:v>
      </x:c>
      <x:c r="K10" s="7" t="str">
        <x:v>投资、环评、设施及排污手续构成处理条件。</x:v>
      </x:c>
    </x:row>
    <x:row r="11" ht="55" customHeight="1">
      <x:c r="A11" s="7" t="str">
        <x:v>C10</x:v>
      </x:c>
      <x:c r="B11" s="7" t="str">
        <x:v>P09</x:v>
      </x:c>
      <x:c r="C11" s="7" t="str">
        <x:v>第19条</x:v>
      </x:c>
      <x:c r="D11" s="7" t="str">
        <x:v>交依法设立的综合利用企业或具备条件自行利用</x:v>
      </x:c>
      <x:c r="E11" s="7" t="n">
        <x:v>0</x:v>
      </x:c>
      <x:c r="F11" s="7" t="n">
        <x:v>0</x:v>
      </x:c>
      <x:c r="G11" s="7" t="n">
        <x:v>1</x:v>
      </x:c>
      <x:c r="H11" s="7" t="n">
        <x:v>0</x:v>
      </x:c>
      <x:c r="I11" s="7" t="n">
        <x:v>0</x:v>
      </x:c>
      <x:c r="J11" s="7" t="n">
        <x:v>0</x:v>
      </x:c>
      <x:c r="K11" s="7" t="str">
        <x:v>生产者回收后的合法交付与自行综合利用条件。</x:v>
      </x:c>
    </x:row>
    <x:row r="12" ht="55" customHeight="1">
      <x:c r="A12" s="7" t="str">
        <x:v>C11</x:v>
      </x:c>
      <x:c r="B12" s="7" t="str">
        <x:v>P09</x:v>
      </x:c>
      <x:c r="C12" s="7" t="str">
        <x:v>第20条</x:v>
      </x:c>
      <x:c r="D12" s="7" t="str">
        <x:v>交综合利用企业或依法设立的回收网点</x:v>
      </x:c>
      <x:c r="E12" s="7" t="n">
        <x:v>0</x:v>
      </x:c>
      <x:c r="F12" s="7" t="n">
        <x:v>0</x:v>
      </x:c>
      <x:c r="G12" s="7" t="n">
        <x:v>1</x:v>
      </x:c>
      <x:c r="H12" s="7" t="n">
        <x:v>0</x:v>
      </x:c>
      <x:c r="I12" s="7" t="n">
        <x:v>0</x:v>
      </x:c>
      <x:c r="J12" s="7" t="n">
        <x:v>0</x:v>
      </x:c>
      <x:c r="K12" s="7" t="str">
        <x:v>换电、维修及拆解主体的合法交付去向。</x:v>
      </x:c>
    </x:row>
    <x:row r="13" ht="55" customHeight="1">
      <x:c r="A13" s="7" t="str">
        <x:v>C12</x:v>
      </x:c>
      <x:c r="B13" s="7" t="str">
        <x:v>P09</x:v>
      </x:c>
      <x:c r="C13" s="7" t="str">
        <x:v>第21条</x:v>
      </x:c>
      <x:c r="D13" s="7" t="str">
        <x:v>废旧新能源车缺电池按车辆缺失认定</x:v>
      </x:c>
      <x:c r="E13" s="7" t="n">
        <x:v>0</x:v>
      </x:c>
      <x:c r="F13" s="7" t="n">
        <x:v>0</x:v>
      </x:c>
      <x:c r="G13" s="7" t="n">
        <x:v>1</x:v>
      </x:c>
      <x:c r="H13" s="7" t="n">
        <x:v>0</x:v>
      </x:c>
      <x:c r="I13" s="7" t="n">
        <x:v>0</x:v>
      </x:c>
      <x:c r="J13" s="7" t="n">
        <x:v>0</x:v>
      </x:c>
      <x:c r="K13" s="7" t="str">
        <x:v>车辆报废环节中电池缺失的认定接口。</x:v>
      </x:c>
    </x:row>
    <x:row r="14" ht="55" customHeight="1">
      <x:c r="A14" s="7" t="str">
        <x:v>C13</x:v>
      </x:c>
      <x:c r="B14" s="7" t="str">
        <x:v>P09</x:v>
      </x:c>
      <x:c r="C14" s="7" t="str">
        <x:v>第22条</x:v>
      </x:c>
      <x:c r="D14" s="7" t="str">
        <x:v>不得直接或加工后用于电动自行车等禁止领域</x:v>
      </x:c>
      <x:c r="E14" s="7" t="n">
        <x:v>0</x:v>
      </x:c>
      <x:c r="F14" s="7" t="n">
        <x:v>0</x:v>
      </x:c>
      <x:c r="G14" s="7" t="n">
        <x:v>1</x:v>
      </x:c>
      <x:c r="H14" s="7" t="n">
        <x:v>0</x:v>
      </x:c>
      <x:c r="I14" s="7" t="n">
        <x:v>1</x:v>
      </x:c>
      <x:c r="J14" s="7" t="n">
        <x:v>0</x:v>
      </x:c>
      <x:c r="K14" s="7" t="str">
        <x:v>产品去向限制与质量安全要求。</x:v>
      </x:c>
    </x:row>
    <x:row r="15" ht="55" customHeight="1">
      <x:c r="A15" s="7" t="str">
        <x:v>C14</x:v>
      </x:c>
      <x:c r="B15" s="7" t="str">
        <x:v>P09</x:v>
      </x:c>
      <x:c r="C15" s="7" t="str">
        <x:v>第24条、第46条</x:v>
      </x:c>
      <x:c r="D15" s="7" t="str">
        <x:v>按主体、事件、对象与期限报送</x:v>
      </x:c>
      <x:c r="E15" s="7" t="n">
        <x:v>1</x:v>
      </x:c>
      <x:c r="F15" s="7" t="n">
        <x:v>0</x:v>
      </x:c>
      <x:c r="G15" s="7" t="n">
        <x:v>1</x:v>
      </x:c>
      <x:c r="H15" s="7" t="n">
        <x:v>1</x:v>
      </x:c>
      <x:c r="I15" s="7" t="n">
        <x:v>0</x:v>
      </x:c>
      <x:c r="J15" s="7" t="n">
        <x:v>0</x:v>
      </x:c>
      <x:c r="K15" s="7" t="str">
        <x:v>编码、来源去向与报送事件期限。</x:v>
      </x:c>
    </x:row>
    <x:row r="16" ht="55" customHeight="1">
      <x:c r="A16" s="7" t="str">
        <x:v>C15</x:v>
      </x:c>
      <x:c r="B16" s="7" t="str">
        <x:v>P09</x:v>
      </x:c>
      <x:c r="C16" s="7" t="str">
        <x:v>第25—26条</x:v>
      </x:c>
      <x:c r="D16" s="7" t="str">
        <x:v>限定技术信息用途，落实网络与数据安全</x:v>
      </x:c>
      <x:c r="E16" s="7" t="n">
        <x:v>0</x:v>
      </x:c>
      <x:c r="F16" s="7" t="n">
        <x:v>0</x:v>
      </x:c>
      <x:c r="G16" s="7" t="n">
        <x:v>0</x:v>
      </x:c>
      <x:c r="H16" s="7" t="n">
        <x:v>1</x:v>
      </x:c>
      <x:c r="I16" s="7" t="n">
        <x:v>0</x:v>
      </x:c>
      <x:c r="J16" s="7" t="n">
        <x:v>0</x:v>
      </x:c>
      <x:c r="K16" s="7" t="str">
        <x:v>技术信息用途及数据安全，归入信息治理。</x:v>
      </x:c>
    </x:row>
    <x:row r="17" ht="55" customHeight="1">
      <x:c r="A17" s="7" t="str">
        <x:v>C16</x:v>
      </x:c>
      <x:c r="B17" s="7" t="str">
        <x:v>P09</x:v>
      </x:c>
      <x:c r="C17" s="7" t="str">
        <x:v>第27—30条</x:v>
      </x:c>
      <x:c r="D17" s="7" t="str">
        <x:v>依法检查、协作移送与保密</x:v>
      </x:c>
      <x:c r="E17" s="7" t="n">
        <x:v>0</x:v>
      </x:c>
      <x:c r="F17" s="7" t="n">
        <x:v>0</x:v>
      </x:c>
      <x:c r="G17" s="7" t="n">
        <x:v>0</x:v>
      </x:c>
      <x:c r="H17" s="7" t="n">
        <x:v>0</x:v>
      </x:c>
      <x:c r="I17" s="7" t="n">
        <x:v>0</x:v>
      </x:c>
      <x:c r="J17" s="7" t="n">
        <x:v>1</x:v>
      </x:c>
      <x:c r="K17" s="7" t="str">
        <x:v>部门检查协作移送及保密安排。</x:v>
      </x:c>
    </x:row>
    <x:row r="18" ht="55" customHeight="1">
      <x:c r="A18" s="7" t="str">
        <x:v>C17</x:v>
      </x:c>
      <x:c r="B18" s="7" t="str">
        <x:v>P09</x:v>
      </x:c>
      <x:c r="C18" s="7" t="str">
        <x:v>第32、36、39条</x:v>
      </x:c>
      <x:c r="D18" s="7" t="str">
        <x:v>对应编码、责任、交售与信息违法行为处理</x:v>
      </x:c>
      <x:c r="E18" s="7" t="n">
        <x:v>0</x:v>
      </x:c>
      <x:c r="F18" s="7" t="n">
        <x:v>0</x:v>
      </x:c>
      <x:c r="G18" s="7" t="n">
        <x:v>0</x:v>
      </x:c>
      <x:c r="H18" s="7" t="n">
        <x:v>0</x:v>
      </x:c>
      <x:c r="I18" s="7" t="n">
        <x:v>0</x:v>
      </x:c>
      <x:c r="J18" s="7" t="n">
        <x:v>1</x:v>
      </x:c>
      <x:c r="K18" s="7" t="str">
        <x:v>对相关违法行为的处理；以本记录直接的监督动作编码。</x:v>
      </x:c>
    </x:row>
    <x:row r="19" ht="55" customHeight="1">
      <x:c r="A19" s="7" t="str">
        <x:v>C18</x:v>
      </x:c>
      <x:c r="B19" s="7" t="str">
        <x:v>P09</x:v>
      </x:c>
      <x:c r="C19" s="7" t="str">
        <x:v>第42条</x:v>
      </x:c>
      <x:c r="D19" s="7" t="str">
        <x:v>行政处罚与行业规范公告管理衔接</x:v>
      </x:c>
      <x:c r="E19" s="7" t="n">
        <x:v>0</x:v>
      </x:c>
      <x:c r="F19" s="7" t="n">
        <x:v>0</x:v>
      </x:c>
      <x:c r="G19" s="7" t="n">
        <x:v>0</x:v>
      </x:c>
      <x:c r="H19" s="7" t="n">
        <x:v>0</x:v>
      </x:c>
      <x:c r="I19" s="7" t="n">
        <x:v>0</x:v>
      </x:c>
      <x:c r="J19" s="7" t="n">
        <x:v>1</x:v>
      </x:c>
      <x:c r="K19" s="7" t="str">
        <x:v>处罚与公告管理衔接。</x:v>
      </x:c>
    </x:row>
    <x:row r="20" ht="55" customHeight="1">
      <x:c r="A20" s="7" t="str">
        <x:v>C19</x:v>
      </x:c>
      <x:c r="B20" s="7" t="str">
        <x:v>P09</x:v>
      </x:c>
      <x:c r="C20" s="7" t="str">
        <x:v>第45条、第49条</x:v>
      </x:c>
      <x:c r="D20" s="7" t="str">
        <x:v>界定废旧动力电池、综合利用及排除情形</x:v>
      </x:c>
      <x:c r="E20" s="7" t="n">
        <x:v>1</x:v>
      </x:c>
      <x:c r="F20" s="7" t="n">
        <x:v>0</x:v>
      </x:c>
      <x:c r="G20" s="7" t="n">
        <x:v>0</x:v>
      </x:c>
      <x:c r="H20" s="7" t="n">
        <x:v>0</x:v>
      </x:c>
      <x:c r="I20" s="7" t="n">
        <x:v>0</x:v>
      </x:c>
      <x:c r="J20" s="7" t="n">
        <x:v>0</x:v>
      </x:c>
      <x:c r="K20" s="7" t="str">
        <x:v>对象定义与危险废物等适用排除。</x:v>
      </x:c>
    </x:row>
    <x:row r="21" ht="55" customHeight="1">
      <x:c r="A21" s="7" t="str">
        <x:v>C20</x:v>
      </x:c>
      <x:c r="B21" s="7" t="str">
        <x:v>P09</x:v>
      </x:c>
      <x:c r="C21" s="7" t="str">
        <x:v>第48、50条</x:v>
      </x:c>
      <x:c r="D21" s="7" t="str">
        <x:v>存量车型补报技术信息及旧文件废止</x:v>
      </x:c>
      <x:c r="E21" s="7" t="n">
        <x:v>0</x:v>
      </x:c>
      <x:c r="F21" s="7" t="n">
        <x:v>0</x:v>
      </x:c>
      <x:c r="G21" s="7" t="n">
        <x:v>0</x:v>
      </x:c>
      <x:c r="H21" s="7" t="n">
        <x:v>1</x:v>
      </x:c>
      <x:c r="I21" s="7" t="n">
        <x:v>0</x:v>
      </x:c>
      <x:c r="J21" s="7" t="n">
        <x:v>1</x:v>
      </x:c>
      <x:c r="K21" s="7" t="str">
        <x:v>过渡补报信息及新旧文件效力衔接。</x:v>
      </x:c>
    </x:row>
    <x:row r="23" ht="42" customHeight="1">
      <x:c r="A23" t="str">
        <x:v>统计口径</x:v>
      </x:c>
      <x:c r="B23" s="18" t="str">
        <x:v>20条目的性分析记录；不是全文条款普查</x:v>
      </x:c>
      <x:c r="C23" s="18" t="str">
        <x:v>维度非互斥；合计可超过100%</x:v>
      </x:c>
      <x:c r="D23" s="18"/>
      <x:c r="E23" s="18"/>
      <x:c r="F23" s="18"/>
      <x:c r="G23" s="18"/>
      <x:c r="H23" s="18"/>
      <x:c r="I23" s="18"/>
      <x:c r="J23" s="18"/>
      <x:c r="K23" s="18"/>
    </x:row>
    <x:row r="24" ht="42" customHeight="1">
      <x:c r="A24" t="str">
        <x:v>规则</x:v>
      </x:c>
      <x:c r="B24" s="18" t="str">
        <x:v>明确涉及取1；否则0；单套研究者编码</x:v>
      </x:c>
      <x:c r="C24" s="18" t="str">
        <x:v>未实施独立双人复核，不报告一致性系数</x:v>
      </x:c>
      <x:c r="D24" s="18"/>
      <x:c r="E24" s="18"/>
      <x:c r="F24" s="18"/>
      <x:c r="G24" s="18"/>
      <x:c r="H24" s="18"/>
      <x:c r="I24" s="18"/>
      <x:c r="J24" s="18"/>
      <x:c r="K24" s="18"/>
    </x:row>
    <x:row r="26">
      <x:c r="D26" t="str">
        <x:v>记录数</x:v>
      </x:c>
      <x:c r="E26" t="n">
        <x:f>SUM(E2:E21)</x:f>
        <x:v>4</x:v>
      </x:c>
      <x:c r="F26" t="n">
        <x:f>SUM(F2:F21)</x:f>
        <x:v>4</x:v>
      </x:c>
      <x:c r="G26" t="n">
        <x:f>SUM(G2:G21)</x:f>
        <x:v>6</x:v>
      </x:c>
      <x:c r="H26" t="n">
        <x:f>SUM(H2:H21)</x:f>
        <x:v>9</x:v>
      </x:c>
      <x:c r="I26" t="n">
        <x:f>SUM(I2:I21)</x:f>
        <x:v>4</x:v>
      </x:c>
      <x:c r="J26" t="n">
        <x:f>SUM(J2:J21)</x:f>
        <x:v>4</x:v>
      </x:c>
    </x:row>
    <x:row r="27">
      <x:c r="D27" t="str">
        <x:v>占20项比例</x:v>
      </x:c>
      <x:c r="E27" s="19" t="n">
        <x:f>E26/20</x:f>
        <x:v>0.2</x:v>
      </x:c>
      <x:c r="F27" s="19" t="n">
        <x:f>F26/20</x:f>
        <x:v>0.2</x:v>
      </x:c>
      <x:c r="G27" s="19" t="n">
        <x:f>G26/20</x:f>
        <x:v>0.3</x:v>
      </x:c>
      <x:c r="H27" s="19" t="n">
        <x:f>H26/20</x:f>
        <x:v>0.45</x:v>
      </x:c>
      <x:c r="I27" s="19" t="n">
        <x:f>I26/20</x:f>
        <x:v>0.2</x:v>
      </x:c>
      <x:c r="J27" s="19" t="n">
        <x:f>J26/20</x:f>
        <x:v>0.2</x:v>
      </x:c>
    </x:row>
  </x:sheetData>
  <x:pageMargins left="0.7" right="0.7" top="0.75" bottom="0.75" header="0.3" footer="0.3"/>
  <x:tableParts count="1">
    <x:tablePart xmlns:r="http://schemas.openxmlformats.org/officeDocument/2006/relationships" r:id="Rb4eb384375ed4cd0"/>
  </x:tableParts>
</x:worksheet>
</file>

<file path=xl/worksheets/sheet11.xml><?xml version="1.0" encoding="utf-8"?>
<x:worksheet xmlns:x="http://schemas.openxmlformats.org/spreadsheetml/2006/main">
  <x:sheetPr>
    <x:tabColor rgb="FF285E43"/>
  </x:sheetPr>
  <x:sheetViews>
    <x:sheetView showGridLines="0" workbookViewId="0">
      <x:pane xSplit="2" ySplit="1" topLeftCell="C2" activePane="bottomRight" state="frozen"/>
    </x:sheetView>
  </x:sheetViews>
  <x:sheetFormatPr defaultRowHeight="15"/>
  <x:cols>
    <x:col min="1" max="1" width="11" hidden="0" customWidth="1"/>
    <x:col min="2" max="2" width="40" hidden="0" customWidth="1"/>
    <x:col min="3" max="3" width="49" hidden="0" customWidth="1"/>
    <x:col min="4" max="4" width="14" hidden="0" customWidth="1"/>
    <x:col min="5" max="5" width="19" hidden="0" customWidth="1"/>
    <x:col min="6" max="6" width="24" hidden="0" customWidth="1"/>
    <x:col min="7" max="7" width="10" hidden="0" customWidth="1"/>
    <x:col min="8" max="8" width="16" hidden="0" customWidth="1"/>
    <x:col min="9" max="9" width="56" hidden="0" customWidth="1"/>
    <x:col min="10" max="10" width="22" hidden="0" customWidth="1"/>
    <x:col min="11" max="11" width="25" hidden="0" customWidth="1"/>
  </x:cols>
  <x:sheetData>
    <x:row r="1" ht="32" customHeight="1">
      <x:c r="A1" s="5" t="str">
        <x:v>事件ID</x:v>
      </x:c>
      <x:c r="B1" s="5" t="str">
        <x:v>主体</x:v>
      </x:c>
      <x:c r="C1" s="5" t="str">
        <x:v>触发事件</x:v>
      </x:c>
      <x:c r="D1" s="5" t="str">
        <x:v>期限数值</x:v>
      </x:c>
      <x:c r="E1" s="5" t="str">
        <x:v>单位</x:v>
      </x:c>
      <x:c r="F1" s="5" t="str">
        <x:v>条款</x:v>
      </x:c>
      <x:c r="G1" s="5" t="str">
        <x:v>来源ID</x:v>
      </x:c>
      <x:c r="H1" s="5" t="str">
        <x:v>纳入自然日统计</x:v>
      </x:c>
      <x:c r="I1" s="5" t="str">
        <x:v>处理理由</x:v>
      </x:c>
      <x:c r="J1" s="5" t="str">
        <x:v>统计列（仅自然日）</x:v>
      </x:c>
      <x:c r="K1" t="str">
        <x:v>自然日期限连续列（仅13项）</x:v>
      </x:c>
    </x:row>
    <x:row r="2" ht="54" customHeight="1">
      <x:c r="A2" s="7" t="str">
        <x:v>T01</x:v>
      </x:c>
      <x:c r="B2" s="7" t="str">
        <x:v>汽车生产企业</x:v>
      </x:c>
      <x:c r="C2" s="7" t="str">
        <x:v>出厂合格证配发或通关检验</x:v>
      </x:c>
      <x:c r="D2" s="7" t="n">
        <x:v>20</x:v>
      </x:c>
      <x:c r="E2" s="7" t="str">
        <x:v>自然日</x:v>
      </x:c>
      <x:c r="F2" s="7" t="str">
        <x:v>第24条第2项</x:v>
      </x:c>
      <x:c r="G2" s="7" t="str">
        <x:v>P09</x:v>
      </x:c>
      <x:c r="H2" s="7" t="n">
        <x:v>1</x:v>
      </x:c>
      <x:c r="I2" s="7" t="str">
        <x:v>同一自然日口径</x:v>
      </x:c>
      <x:c r="J2" s="7" t="n">
        <x:f>IF(H2=1,D2,"")</x:f>
        <x:v>20</x:v>
      </x:c>
      <x:c r="K2" t="n">
        <x:f>D2</x:f>
        <x:v>20</x:v>
      </x:c>
    </x:row>
    <x:row r="3" ht="54" customHeight="1">
      <x:c r="A3" s="7" t="str">
        <x:v>T02</x:v>
      </x:c>
      <x:c r="B3" s="7" t="str">
        <x:v>汽车生产企业</x:v>
      </x:c>
      <x:c r="C3" s="7" t="str">
        <x:v>车辆销售上牌</x:v>
      </x:c>
      <x:c r="D3" s="7" t="n">
        <x:v>40</x:v>
      </x:c>
      <x:c r="E3" s="7" t="str">
        <x:v>自然日</x:v>
      </x:c>
      <x:c r="F3" s="7" t="str">
        <x:v>第24条第2项</x:v>
      </x:c>
      <x:c r="G3" s="7" t="str">
        <x:v>P09</x:v>
      </x:c>
      <x:c r="H3" s="7" t="n">
        <x:v>1</x:v>
      </x:c>
      <x:c r="I3" s="7" t="str">
        <x:v>同一自然日口径</x:v>
      </x:c>
      <x:c r="J3" s="7" t="n">
        <x:f>IF(H3=1,D3,"")</x:f>
        <x:v>40</x:v>
      </x:c>
      <x:c r="K3" t="n">
        <x:f>D3</x:f>
        <x:v>40</x:v>
      </x:c>
    </x:row>
    <x:row r="4" ht="54" customHeight="1">
      <x:c r="A4" s="7" t="str">
        <x:v>T03</x:v>
      </x:c>
      <x:c r="B4" s="7" t="str">
        <x:v>合作维修企业→车企</x:v>
      </x:c>
      <x:c r="C4" s="7" t="str">
        <x:v>电池维修并更换</x:v>
      </x:c>
      <x:c r="D4" s="7" t="n">
        <x:v>15</x:v>
      </x:c>
      <x:c r="E4" s="7" t="str">
        <x:v>自然日</x:v>
      </x:c>
      <x:c r="F4" s="7" t="str">
        <x:v>第24条第5项</x:v>
      </x:c>
      <x:c r="G4" s="7" t="str">
        <x:v>P09</x:v>
      </x:c>
      <x:c r="H4" s="7" t="n">
        <x:v>1</x:v>
      </x:c>
      <x:c r="I4" s="7" t="str">
        <x:v>同一自然日口径</x:v>
      </x:c>
      <x:c r="J4" s="7" t="n">
        <x:f>IF(H4=1,D4,"")</x:f>
        <x:v>15</x:v>
      </x:c>
      <x:c r="K4" t="n">
        <x:f>D4</x:f>
        <x:v>15</x:v>
      </x:c>
    </x:row>
    <x:row r="5" ht="54" customHeight="1">
      <x:c r="A5" s="7" t="str">
        <x:v>T04</x:v>
      </x:c>
      <x:c r="B5" s="7" t="str">
        <x:v>车企→平台</x:v>
      </x:c>
      <x:c r="C5" s="7" t="str">
        <x:v>电池更换</x:v>
      </x:c>
      <x:c r="D5" s="7" t="n">
        <x:v>40</x:v>
      </x:c>
      <x:c r="E5" s="7" t="str">
        <x:v>自然日</x:v>
      </x:c>
      <x:c r="F5" s="7" t="str">
        <x:v>第24条第5项</x:v>
      </x:c>
      <x:c r="G5" s="7" t="str">
        <x:v>P09</x:v>
      </x:c>
      <x:c r="H5" s="7" t="n">
        <x:v>1</x:v>
      </x:c>
      <x:c r="I5" s="7" t="str">
        <x:v>同一自然日口径</x:v>
      </x:c>
      <x:c r="J5" s="7" t="n">
        <x:f>IF(H5=1,D5,"")</x:f>
        <x:v>40</x:v>
      </x:c>
      <x:c r="K5" t="n">
        <x:f>D5</x:f>
        <x:v>40</x:v>
      </x:c>
    </x:row>
    <x:row r="6" ht="54" customHeight="1">
      <x:c r="A6" s="7" t="str">
        <x:v>T05</x:v>
      </x:c>
      <x:c r="B6" s="7" t="str">
        <x:v>非合作维修企业→平台</x:v>
      </x:c>
      <x:c r="C6" s="7" t="str">
        <x:v>电池维修并更换</x:v>
      </x:c>
      <x:c r="D6" s="7" t="n">
        <x:v>40</x:v>
      </x:c>
      <x:c r="E6" s="7" t="str">
        <x:v>自然日</x:v>
      </x:c>
      <x:c r="F6" s="7" t="str">
        <x:v>第24条第5项</x:v>
      </x:c>
      <x:c r="G6" s="7" t="str">
        <x:v>P09</x:v>
      </x:c>
      <x:c r="H6" s="7" t="n">
        <x:v>1</x:v>
      </x:c>
      <x:c r="I6" s="7" t="str">
        <x:v>同一自然日口径</x:v>
      </x:c>
      <x:c r="J6" s="7" t="n">
        <x:f>IF(H6=1,D6,"")</x:f>
        <x:v>40</x:v>
      </x:c>
      <x:c r="K6" t="n">
        <x:f>D6</x:f>
        <x:v>40</x:v>
      </x:c>
    </x:row>
    <x:row r="7" ht="54" customHeight="1">
      <x:c r="A7" s="7" t="str">
        <x:v>T06</x:v>
      </x:c>
      <x:c r="B7" s="7" t="str">
        <x:v>电池企业或车企</x:v>
      </x:c>
      <x:c r="C7" s="7" t="str">
        <x:v>网点设立或变更</x:v>
      </x:c>
      <x:c r="D7" s="7" t="n">
        <x:v>30</x:v>
      </x:c>
      <x:c r="E7" s="7" t="str">
        <x:v>自然日</x:v>
      </x:c>
      <x:c r="F7" s="7" t="str">
        <x:v>第24条第6项</x:v>
      </x:c>
      <x:c r="G7" s="7" t="str">
        <x:v>P09</x:v>
      </x:c>
      <x:c r="H7" s="7" t="n">
        <x:v>1</x:v>
      </x:c>
      <x:c r="I7" s="7" t="str">
        <x:v>同一自然日口径</x:v>
      </x:c>
      <x:c r="J7" s="7" t="n">
        <x:f>IF(H7=1,D7,"")</x:f>
        <x:v>30</x:v>
      </x:c>
      <x:c r="K7" t="n">
        <x:f>D7</x:f>
        <x:v>30</x:v>
      </x:c>
    </x:row>
    <x:row r="8" ht="54" customHeight="1">
      <x:c r="A8" s="7" t="str">
        <x:v>T07</x:v>
      </x:c>
      <x:c r="B8" s="7" t="str">
        <x:v>电池企业或车企</x:v>
      </x:c>
      <x:c r="C8" s="7" t="str">
        <x:v>回收废旧动力电池</x:v>
      </x:c>
      <x:c r="D8" s="7" t="n">
        <x:v>15</x:v>
      </x:c>
      <x:c r="E8" s="7" t="str">
        <x:v>自然日</x:v>
      </x:c>
      <x:c r="F8" s="7" t="str">
        <x:v>第24条第6项</x:v>
      </x:c>
      <x:c r="G8" s="7" t="str">
        <x:v>P09</x:v>
      </x:c>
      <x:c r="H8" s="7" t="n">
        <x:v>1</x:v>
      </x:c>
      <x:c r="I8" s="7" t="str">
        <x:v>同一自然日口径</x:v>
      </x:c>
      <x:c r="J8" s="7" t="n">
        <x:f>IF(H8=1,D8,"")</x:f>
        <x:v>15</x:v>
      </x:c>
      <x:c r="K8" t="n">
        <x:f>D8</x:f>
        <x:v>15</x:v>
      </x:c>
    </x:row>
    <x:row r="9" ht="54" customHeight="1">
      <x:c r="A9" s="7" t="str">
        <x:v>T08</x:v>
      </x:c>
      <x:c r="B9" s="7" t="str">
        <x:v>电池企业或车企</x:v>
      </x:c>
      <x:c r="C9" s="7" t="str">
        <x:v>相关电池或产品移交出库</x:v>
      </x:c>
      <x:c r="D9" s="7" t="n">
        <x:v>15</x:v>
      </x:c>
      <x:c r="E9" s="7" t="str">
        <x:v>自然日</x:v>
      </x:c>
      <x:c r="F9" s="7" t="str">
        <x:v>第24条第6项</x:v>
      </x:c>
      <x:c r="G9" s="7" t="str">
        <x:v>P09</x:v>
      </x:c>
      <x:c r="H9" s="7" t="n">
        <x:v>1</x:v>
      </x:c>
      <x:c r="I9" s="7" t="str">
        <x:v>同一自然日口径</x:v>
      </x:c>
      <x:c r="J9" s="7" t="n">
        <x:f>IF(H9=1,D9,"")</x:f>
        <x:v>15</x:v>
      </x:c>
      <x:c r="K9" t="n">
        <x:f>D9</x:f>
        <x:v>15</x:v>
      </x:c>
    </x:row>
    <x:row r="10" ht="54" customHeight="1">
      <x:c r="A10" s="7" t="str">
        <x:v>T09</x:v>
      </x:c>
      <x:c r="B10" s="7" t="str">
        <x:v>综合利用企业</x:v>
      </x:c>
      <x:c r="C10" s="7" t="str">
        <x:v>接收废旧动力电池</x:v>
      </x:c>
      <x:c r="D10" s="7" t="n">
        <x:v>30</x:v>
      </x:c>
      <x:c r="E10" s="7" t="str">
        <x:v>自然日</x:v>
      </x:c>
      <x:c r="F10" s="7" t="str">
        <x:v>第24条第7项</x:v>
      </x:c>
      <x:c r="G10" s="7" t="str">
        <x:v>P09</x:v>
      </x:c>
      <x:c r="H10" s="7" t="n">
        <x:v>1</x:v>
      </x:c>
      <x:c r="I10" s="7" t="str">
        <x:v>同一自然日口径</x:v>
      </x:c>
      <x:c r="J10" s="7" t="n">
        <x:f>IF(H10=1,D10,"")</x:f>
        <x:v>30</x:v>
      </x:c>
      <x:c r="K10" t="n">
        <x:f>D10</x:f>
        <x:v>30</x:v>
      </x:c>
    </x:row>
    <x:row r="11" ht="54" customHeight="1">
      <x:c r="A11" s="7" t="str">
        <x:v>T10</x:v>
      </x:c>
      <x:c r="B11" s="7" t="str">
        <x:v>综合利用企业</x:v>
      </x:c>
      <x:c r="C11" s="7" t="str">
        <x:v>综合利用产品移交出库</x:v>
      </x:c>
      <x:c r="D11" s="7" t="n">
        <x:v>30</x:v>
      </x:c>
      <x:c r="E11" s="7" t="str">
        <x:v>自然日</x:v>
      </x:c>
      <x:c r="F11" s="7" t="str">
        <x:v>第24条第7项</x:v>
      </x:c>
      <x:c r="G11" s="7" t="str">
        <x:v>P09</x:v>
      </x:c>
      <x:c r="H11" s="7" t="n">
        <x:v>1</x:v>
      </x:c>
      <x:c r="I11" s="7" t="str">
        <x:v>同一自然日口径</x:v>
      </x:c>
      <x:c r="J11" s="7" t="n">
        <x:f>IF(H11=1,D11,"")</x:f>
        <x:v>30</x:v>
      </x:c>
      <x:c r="K11" t="n">
        <x:f>D11</x:f>
        <x:v>30</x:v>
      </x:c>
    </x:row>
    <x:row r="12" ht="54" customHeight="1">
      <x:c r="A12" s="7" t="str">
        <x:v>T11</x:v>
      </x:c>
      <x:c r="B12" s="7" t="str">
        <x:v>汽车生产或进口销售企业</x:v>
      </x:c>
      <x:c r="C12" s="7" t="str">
        <x:v>取得准入公告或强制性产品认证</x:v>
      </x:c>
      <x:c r="D12" s="7" t="n">
        <x:v>6</x:v>
      </x:c>
      <x:c r="E12" s="7" t="str">
        <x:v>月</x:v>
      </x:c>
      <x:c r="F12" s="7" t="str">
        <x:v>第24条第1项</x:v>
      </x:c>
      <x:c r="G12" s="7" t="str">
        <x:v>P09</x:v>
      </x:c>
      <x:c r="H12" s="7" t="n">
        <x:v>0</x:v>
      </x:c>
      <x:c r="I12" s="7" t="str">
        <x:v>月、每月日号或依相关规定，单位不同单列</x:v>
      </x:c>
      <x:c r="J12" s="7" t="str">
        <x:f>IF(H12=1,D12,"")</x:f>
      </x:c>
      <x:c r="K12" t="n">
        <x:f>D13</x:f>
        <x:v>15</x:v>
      </x:c>
    </x:row>
    <x:row r="13" ht="54" customHeight="1">
      <x:c r="A13" s="7" t="str">
        <x:v>T12</x:v>
      </x:c>
      <x:c r="B13" s="7" t="str">
        <x:v>汽车生产企业</x:v>
      </x:c>
      <x:c r="C13" s="7" t="str">
        <x:v>研制、生产、装车废旧电池移交出库</x:v>
      </x:c>
      <x:c r="D13" s="7" t="n">
        <x:v>15</x:v>
      </x:c>
      <x:c r="E13" s="7" t="str">
        <x:v>自然日</x:v>
      </x:c>
      <x:c r="F13" s="7" t="str">
        <x:v>第24条第2项</x:v>
      </x:c>
      <x:c r="G13" s="7" t="str">
        <x:v>P09</x:v>
      </x:c>
      <x:c r="H13" s="7" t="n">
        <x:v>1</x:v>
      </x:c>
      <x:c r="I13" s="7" t="str">
        <x:v>同一自然日口径</x:v>
      </x:c>
      <x:c r="J13" s="7" t="n">
        <x:f>IF(H13=1,D13,"")</x:f>
        <x:v>15</x:v>
      </x:c>
      <x:c r="K13" t="n">
        <x:f>D14</x:f>
        <x:v>15</x:v>
      </x:c>
    </x:row>
    <x:row r="14" ht="54" customHeight="1">
      <x:c r="A14" s="7" t="str">
        <x:v>T13</x:v>
      </x:c>
      <x:c r="B14" s="7" t="str">
        <x:v>电池企业</x:v>
      </x:c>
      <x:c r="C14" s="7" t="str">
        <x:v>研制、生产、返修废旧电池移交出库</x:v>
      </x:c>
      <x:c r="D14" s="7" t="n">
        <x:v>15</x:v>
      </x:c>
      <x:c r="E14" s="7" t="str">
        <x:v>自然日</x:v>
      </x:c>
      <x:c r="F14" s="7" t="str">
        <x:v>第24条第3项</x:v>
      </x:c>
      <x:c r="G14" s="7" t="str">
        <x:v>P09</x:v>
      </x:c>
      <x:c r="H14" s="7" t="n">
        <x:v>1</x:v>
      </x:c>
      <x:c r="I14" s="7" t="str">
        <x:v>同一自然日口径</x:v>
      </x:c>
      <x:c r="J14" s="7" t="n">
        <x:f>IF(H14=1,D14,"")</x:f>
        <x:v>15</x:v>
      </x:c>
      <x:c r="K14" t="n">
        <x:f>D16</x:f>
        <x:v>15</x:v>
      </x:c>
    </x:row>
    <x:row r="15" ht="54" customHeight="1">
      <x:c r="A15" s="7" t="str">
        <x:v>T14</x:v>
      </x:c>
      <x:c r="B15" s="7" t="str">
        <x:v>换电服务企业</x:v>
      </x:c>
      <x:c r="C15" s="7" t="str">
        <x:v>上月换电型汽车电池末次更换</x:v>
      </x:c>
      <x:c r="D15" s="7" t="n">
        <x:v>15</x:v>
      </x:c>
      <x:c r="E15" s="7" t="str">
        <x:v>每月日号</x:v>
      </x:c>
      <x:c r="F15" s="7" t="str">
        <x:v>第24条第4项</x:v>
      </x:c>
      <x:c r="G15" s="7" t="str">
        <x:v>P09</x:v>
      </x:c>
      <x:c r="H15" s="7" t="n">
        <x:v>0</x:v>
      </x:c>
      <x:c r="I15" s="7" t="str">
        <x:v>月、每月日号或依相关规定，单位不同单列</x:v>
      </x:c>
      <x:c r="J15" s="7" t="str">
        <x:f>IF(H15=1,D15,"")</x:f>
      </x:c>
    </x:row>
    <x:row r="16" ht="54" customHeight="1">
      <x:c r="A16" s="7" t="str">
        <x:v>T15</x:v>
      </x:c>
      <x:c r="B16" s="7" t="str">
        <x:v>换电服务企业</x:v>
      </x:c>
      <x:c r="C16" s="7" t="str">
        <x:v>换电运营废旧电池移交出库</x:v>
      </x:c>
      <x:c r="D16" s="7" t="n">
        <x:v>15</x:v>
      </x:c>
      <x:c r="E16" s="7" t="str">
        <x:v>自然日</x:v>
      </x:c>
      <x:c r="F16" s="7" t="str">
        <x:v>第24条第4项</x:v>
      </x:c>
      <x:c r="G16" s="7" t="str">
        <x:v>P09</x:v>
      </x:c>
      <x:c r="H16" s="7" t="n">
        <x:v>1</x:v>
      </x:c>
      <x:c r="I16" s="7" t="str">
        <x:v>同一自然日口径</x:v>
      </x:c>
      <x:c r="J16" s="7" t="n">
        <x:f>IF(H16=1,D16,"")</x:f>
        <x:v>15</x:v>
      </x:c>
    </x:row>
    <x:row r="17" ht="54" customHeight="1">
      <x:c r="A17" s="7" t="str">
        <x:v>T16</x:v>
      </x:c>
      <x:c r="B17" s="7" t="str">
        <x:v>报废机动车回收拆解企业</x:v>
      </x:c>
      <x:c r="C17" s="7" t="str">
        <x:v>车辆报废与废旧电池拆卸出库</x:v>
      </x:c>
      <x:c r="D17" s="7"/>
      <x:c r="E17" s="7" t="str">
        <x:v>依相关规定</x:v>
      </x:c>
      <x:c r="F17" s="7" t="str">
        <x:v>第24条第8项</x:v>
      </x:c>
      <x:c r="G17" s="7" t="str">
        <x:v>P09</x:v>
      </x:c>
      <x:c r="H17" s="7" t="n">
        <x:v>0</x:v>
      </x:c>
      <x:c r="I17" s="7" t="str">
        <x:v>月、每月日号或依相关规定，单位不同单列</x:v>
      </x:c>
      <x:c r="J17" s="7" t="str">
        <x:f>IF(H17=1,D17,"")</x:f>
      </x:c>
    </x:row>
    <x:row r="18" ht="54" customHeight="1">
      <x:c r="A18" s="7" t="str">
        <x:v>T17</x:v>
      </x:c>
      <x:c r="B18" s="7" t="str">
        <x:v>施行前已取得准入或认证且仍在产销的相关主体</x:v>
      </x:c>
      <x:c r="C18" s="7" t="str">
        <x:v>新办法施行</x:v>
      </x:c>
      <x:c r="D18" s="7" t="n">
        <x:v>6</x:v>
      </x:c>
      <x:c r="E18" s="7" t="str">
        <x:v>月</x:v>
      </x:c>
      <x:c r="F18" s="7" t="str">
        <x:v>第48条</x:v>
      </x:c>
      <x:c r="G18" s="7" t="str">
        <x:v>P09</x:v>
      </x:c>
      <x:c r="H18" s="7" t="n">
        <x:v>0</x:v>
      </x:c>
      <x:c r="I18" s="7" t="str">
        <x:v>月、每月日号或依相关规定，单位不同单列</x:v>
      </x:c>
      <x:c r="J18" s="7" t="str">
        <x:f>IF(H18=1,D18,"")</x:f>
      </x:c>
    </x:row>
    <x:row r="21">
      <x:c r="A21" t="str">
        <x:v>同单位统计</x:v>
      </x:c>
      <x:c r="B21" t="str">
        <x:v>值</x:v>
      </x:c>
      <x:c r="D21" t="str">
        <x:v>期限／自然日</x:v>
      </x:c>
      <x:c r="E21" t="str">
        <x:v>项数</x:v>
      </x:c>
      <x:c r="F21" t="str">
        <x:v>占比</x:v>
      </x:c>
      <x:c r="G21" t="str">
        <x:v>经验累计比例</x:v>
      </x:c>
    </x:row>
    <x:row r="22">
      <x:c r="A22" t="str">
        <x:v>自然日事件数</x:v>
      </x:c>
      <x:c r="B22" t="n">
        <x:f>COUNT(J2:J18)</x:f>
        <x:v>13</x:v>
      </x:c>
      <x:c r="D22" t="n">
        <x:v>15</x:v>
      </x:c>
      <x:c r="E22" t="n">
        <x:f>COUNTIF(J2:J18,D22)</x:f>
        <x:v>6</x:v>
      </x:c>
      <x:c r="F22" s="21" t="n">
        <x:f>E22/$B$22</x:f>
        <x:v>0.46153846153846156</x:v>
      </x:c>
      <x:c r="G22" s="21" t="n">
        <x:f>SUM($E$22:E22)/$B$22</x:f>
        <x:v>0.46153846153846156</x:v>
      </x:c>
    </x:row>
    <x:row r="23">
      <x:c r="A23" t="str">
        <x:v>均值／日</x:v>
      </x:c>
      <x:c r="B23" s="20" t="n">
        <x:f>AVERAGE(J2:J18)</x:f>
        <x:v>24.615384615384617</x:v>
      </x:c>
      <x:c r="D23" t="n">
        <x:v>20</x:v>
      </x:c>
      <x:c r="E23" t="n">
        <x:f>COUNTIF(J2:J18,D23)</x:f>
        <x:v>1</x:v>
      </x:c>
      <x:c r="F23" s="21" t="n">
        <x:f>E23/$B$22</x:f>
        <x:v>0.07692307692307693</x:v>
      </x:c>
      <x:c r="G23" s="21" t="n">
        <x:f>SUM($E$22:E23)/$B$22</x:f>
        <x:v>0.5384615384615384</x:v>
      </x:c>
    </x:row>
    <x:row r="24">
      <x:c r="A24" t="str">
        <x:v>中位数／日</x:v>
      </x:c>
      <x:c r="B24" s="20" t="n">
        <x:f>MEDIAN(J2:J18)</x:f>
        <x:v>20</x:v>
      </x:c>
      <x:c r="D24" t="n">
        <x:v>30</x:v>
      </x:c>
      <x:c r="E24" t="n">
        <x:f>COUNTIF(J2:J18,D24)</x:f>
        <x:v>3</x:v>
      </x:c>
      <x:c r="F24" s="21" t="n">
        <x:f>E24/$B$22</x:f>
        <x:v>0.23076923076923078</x:v>
      </x:c>
      <x:c r="G24" s="21" t="n">
        <x:f>SUM($E$22:E24)/$B$22</x:f>
        <x:v>0.7692307692307693</x:v>
      </x:c>
    </x:row>
    <x:row r="25">
      <x:c r="A25" t="str">
        <x:v>第1四分位数／日</x:v>
      </x:c>
      <x:c r="B25" s="20" t="n">
        <x:f>SMALL(K2:K14,4)</x:f>
        <x:v>15</x:v>
      </x:c>
      <x:c r="D25" t="n">
        <x:v>40</x:v>
      </x:c>
      <x:c r="E25" t="n">
        <x:f>COUNTIF(J2:J18,D25)</x:f>
        <x:v>3</x:v>
      </x:c>
      <x:c r="F25" s="21" t="n">
        <x:f>E25/$B$22</x:f>
        <x:v>0.23076923076923078</x:v>
      </x:c>
      <x:c r="G25" s="21" t="n">
        <x:f>SUM($E$22:E25)/$B$22</x:f>
        <x:v>1</x:v>
      </x:c>
    </x:row>
    <x:row r="26">
      <x:c r="A26" t="str">
        <x:v>第3四分位数／日</x:v>
      </x:c>
      <x:c r="B26" s="20" t="n">
        <x:f>SMALL(K2:K14,10)</x:f>
        <x:v>30</x:v>
      </x:c>
    </x:row>
    <x:row r="27">
      <x:c r="A27" t="str">
        <x:v>最小值／日</x:v>
      </x:c>
      <x:c r="B27" s="20" t="n">
        <x:f>MIN(J2:J18)</x:f>
        <x:v>15</x:v>
      </x:c>
      <x:c r="D27" s="18" t="str">
        <x:v>固定规则集合、每项等权；不是企业耗时样本或业务频率，无置信区间。四分位使用13项的第4、第10顺序值（线性分位数在此恰为整数位置）。</x:v>
      </x:c>
      <x:c r="E27" s="18"/>
      <x:c r="F27" s="18"/>
      <x:c r="G27" s="18"/>
      <x:c r="H27" s="18"/>
      <x:c r="I27" s="18"/>
      <x:c r="J27" s="18"/>
    </x:row>
    <x:row r="28">
      <x:c r="A28" t="str">
        <x:v>最大值／日</x:v>
      </x:c>
      <x:c r="B28" s="20" t="n">
        <x:f>MAX(J2:J18)</x:f>
        <x:v>40</x:v>
      </x:c>
      <x:c r="D28" s="18"/>
      <x:c r="E28" s="18"/>
      <x:c r="F28" s="18"/>
      <x:c r="G28" s="18"/>
      <x:c r="H28" s="18"/>
      <x:c r="I28" s="18"/>
      <x:c r="J28" s="18"/>
    </x:row>
    <x:row r="29">
      <x:c r="A29" t="str">
        <x:v>单独保留事件数</x:v>
      </x:c>
      <x:c r="B29" t="n">
        <x:f>17-B22</x:f>
        <x:v>4</x:v>
      </x:c>
      <x:c r="D29" s="18"/>
      <x:c r="E29" s="18"/>
      <x:c r="F29" s="18"/>
      <x:c r="G29" s="18"/>
      <x:c r="H29" s="18"/>
      <x:c r="I29" s="18"/>
      <x:c r="J29" s="18"/>
    </x:row>
  </x:sheetData>
  <x:mergeCells>
    <x:mergeCell ref="D27:J29"/>
  </x:mergeCells>
  <x:pageMargins left="0.7" right="0.7" top="0.75" bottom="0.75" header="0.3" footer="0.3"/>
  <x:tableParts count="1">
    <x:tablePart xmlns:r="http://schemas.openxmlformats.org/officeDocument/2006/relationships" r:id="R14f1021d9d524db9"/>
  </x:tableParts>
</x:worksheet>
</file>

<file path=xl/worksheets/sheet12.xml><?xml version="1.0" encoding="utf-8"?>
<x:worksheet xmlns:x="http://schemas.openxmlformats.org/spreadsheetml/2006/main">
  <x:sheetPr>
    <x:tabColor rgb="FF285E43"/>
  </x:sheetPr>
  <x:sheetViews>
    <x:sheetView showGridLines="0" workbookViewId="0">
      <x:pane xSplit="2" ySplit="1" topLeftCell="C2" activePane="bottomRight" state="frozen"/>
    </x:sheetView>
  </x:sheetViews>
  <x:sheetFormatPr defaultRowHeight="15"/>
  <x:cols>
    <x:col min="1" max="1" width="34" hidden="0" customWidth="1"/>
    <x:col min="2" max="2" width="25" hidden="0" customWidth="1"/>
    <x:col min="3" max="3" width="12" hidden="0" customWidth="1"/>
    <x:col min="4" max="4" width="88" hidden="0" customWidth="1"/>
  </x:cols>
  <x:sheetData>
    <x:row r="1" ht="32" customHeight="1">
      <x:c r="A1" s="5" t="str">
        <x:v>参数或输出</x:v>
      </x:c>
      <x:c r="B1" s="5" t="str">
        <x:v>数值（可复算）</x:v>
      </x:c>
      <x:c r="C1" s="5" t="str">
        <x:v>单位</x:v>
      </x:c>
      <x:c r="D1" s="5" t="str">
        <x:v>依据与性质</x:v>
      </x:c>
    </x:row>
    <x:row r="2" ht="42" customHeight="1">
      <x:c r="A2" s="7" t="str">
        <x:v>a 上游法定报送窗口</x:v>
      </x:c>
      <x:c r="B2" s="22" t="n">
        <x:v>15</x:v>
      </x:c>
      <x:c r="C2" s="7" t="str">
        <x:v>日</x:v>
      </x:c>
      <x:c r="D2" s="7" t="str">
        <x:v>P09第24条第6项、第46条；自出库事件起算</x:v>
      </x:c>
    </x:row>
    <x:row r="3" ht="42" customHeight="1">
      <x:c r="A3" s="7" t="str">
        <x:v>b 下游法定报送窗口</x:v>
      </x:c>
      <x:c r="B3" s="22" t="n">
        <x:v>30</x:v>
      </x:c>
      <x:c r="C3" s="7" t="str">
        <x:v>日</x:v>
      </x:c>
      <x:c r="D3" s="7" t="str">
        <x:v>P09第24条第7项、第46条；自入库事件起算</x:v>
      </x:c>
    </x:row>
    <x:row r="4" ht="42" customHeight="1">
      <x:c r="A4" s="7" t="str">
        <x:v>τ 假设交接间隔</x:v>
      </x:c>
      <x:c r="B4" s="22" t="n">
        <x:v>2</x:v>
      </x:c>
      <x:c r="C4" s="7" t="str">
        <x:v>日</x:v>
      </x:c>
      <x:c r="D4" s="7" t="str">
        <x:v>作者情景假设；没有运输实测值</x:v>
      </x:c>
    </x:row>
    <x:row r="5" ht="42" customHeight="1">
      <x:c r="A5" s="7" t="str">
        <x:v>η 下游自愿报送系数</x:v>
      </x:c>
      <x:c r="B5" s="22" t="n">
        <x:v>1</x:v>
      </x:c>
      <x:c r="C5" s="7" t="str">
        <x:v>比例</x:v>
      </x:c>
      <x:c r="D5" s="7" t="str">
        <x:v>仅改变假设实际报送范围，不改变法定期限</x:v>
      </x:c>
    </x:row>
    <x:row r="6" ht="42" customHeight="1">
      <x:c r="A6" s="7" t="str">
        <x:v>T 示例观察阈值</x:v>
      </x:c>
      <x:c r="B6" s="22" t="n">
        <x:v>15</x:v>
      </x:c>
      <x:c r="C6" s="7" t="str">
        <x:v>日</x:v>
      </x:c>
      <x:c r="D6" s="7" t="str">
        <x:v>不是新增统一监管阈值</x:v>
      </x:c>
    </x:row>
    <x:row r="7" ht="42" customHeight="1">
      <x:c r="A7" s="7" t="str">
        <x:v>b_eff 下游情景窗口</x:v>
      </x:c>
      <x:c r="B7" s="22" t="n">
        <x:f>B3*B5</x:f>
        <x:v>30</x:v>
      </x:c>
      <x:c r="C7" s="7" t="str">
        <x:v>日</x:v>
      </x:c>
      <x:c r="D7" s="7" t="str">
        <x:v>b×η</x:v>
      </x:c>
    </x:row>
    <x:row r="8" ht="42" customHeight="1">
      <x:c r="A8" s="7" t="str">
        <x:v>模型条件</x:v>
      </x:c>
      <x:c r="B8" s="7"/>
      <x:c r="C8" s="7"/>
      <x:c r="D8" s="7" t="str">
        <x:v>U与V独立均匀；真实按期、同对象报送，到齐后可匹配</x:v>
      </x:c>
    </x:row>
    <x:row r="9" ht="42" customHeight="1">
      <x:c r="A9" s="7" t="str">
        <x:v>输出</x:v>
      </x:c>
      <x:c r="B9" s="7"/>
      <x:c r="C9" s="7" t="str">
        <x:v>单位</x:v>
      </x:c>
      <x:c r="D9" s="7" t="str">
        <x:v>以下均为模型输出，不是实测、标准误或置信区间</x:v>
      </x:c>
    </x:row>
    <x:row r="10" ht="42" customHeight="1">
      <x:c r="A10" s="7" t="str">
        <x:v>窗口下界</x:v>
      </x:c>
      <x:c r="B10" s="23" t="n">
        <x:f>MAX(B4-B2,0)</x:f>
        <x:v>0</x:v>
      </x:c>
      <x:c r="C10" s="7" t="str">
        <x:v>日</x:v>
      </x:c>
      <x:c r="D10" s="7" t="str">
        <x:v>无需报送分布假设</x:v>
      </x:c>
    </x:row>
    <x:row r="11" ht="42" customHeight="1">
      <x:c r="A11" s="7" t="str">
        <x:v>窗口上界</x:v>
      </x:c>
      <x:c r="B11" s="23" t="n">
        <x:f>B4+B7</x:f>
        <x:v>32</x:v>
      </x:c>
      <x:c r="C11" s="7" t="str">
        <x:v>日</x:v>
      </x:c>
      <x:c r="D11" s="7" t="str">
        <x:v>需区分情景窗口与法定窗口</x:v>
      </x:c>
    </x:row>
    <x:row r="12" ht="42" customHeight="1">
      <x:c r="A12" s="7" t="str">
        <x:v>期望窗口</x:v>
      </x:c>
      <x:c r="B12" s="23" t="n">
        <x:f>(MAX(B4+B7,0)^3-MAX(B4+B7-B2,0)^3-MAX(B4,0)^3+MAX(B4-B2,0)^3)/(6*B2*B7)</x:f>
        <x:v>10.313703703703704</x:v>
      </x:c>
      <x:c r="C12" s="7" t="str">
        <x:v>日</x:v>
      </x:c>
      <x:c r="D12" s="7" t="str">
        <x:v>解析积分</x:v>
      </x:c>
    </x:row>
    <x:row r="13" ht="42" customHeight="1">
      <x:c r="A13" s="7" t="str">
        <x:v>5%分位</x:v>
      </x:c>
      <x:c r="B13" s="23" t="n">
        <x:f>MAX(0,B4+IF(0.05&lt;MIN(B2,B7)/(2*MAX(B2,B7)),-B2+SQRT(2*B2*B7*0.05),IF(0.05&gt;1-MIN(B2,B7)/(2*MAX(B2,B7)),B7-SQRT(2*B2*B7*(1-0.05)),(B7-B2)/2+MAX(B2,B7)*(0.05-0.5))))</x:f>
        <x:v>0</x:v>
      </x:c>
      <x:c r="C13" s="7" t="str">
        <x:v>日</x:v>
      </x:c>
      <x:c r="D13" s="7" t="str">
        <x:v>含W=0的离散概率质量</x:v>
      </x:c>
    </x:row>
    <x:row r="14" ht="42" customHeight="1">
      <x:c r="A14" s="7" t="str">
        <x:v>中位数</x:v>
      </x:c>
      <x:c r="B14" s="23" t="n">
        <x:f>MAX(0,B4+IF(0.5&lt;MIN(B2,B7)/(2*MAX(B2,B7)),-B2+SQRT(2*B2*B7*0.5),IF(0.5&gt;1-MIN(B2,B7)/(2*MAX(B2,B7)),B7-SQRT(2*B2*B7*(1-0.5)),(B7-B2)/2+MAX(B2,B7)*(0.5-0.5))))</x:f>
        <x:v>9.5</x:v>
      </x:c>
      <x:c r="C14" s="7" t="str">
        <x:v>日</x:v>
      </x:c>
      <x:c r="D14" s="7" t="str">
        <x:v>截断的均匀差分布解析分位</x:v>
      </x:c>
    </x:row>
    <x:row r="15" ht="42" customHeight="1">
      <x:c r="A15" s="7" t="str">
        <x:v>95%分位</x:v>
      </x:c>
      <x:c r="B15" s="23" t="n">
        <x:f>MAX(0,B4+IF(0.95&lt;MIN(B2,B7)/(2*MAX(B2,B7)),-B2+SQRT(2*B2*B7*0.95),IF(0.95&gt;1-MIN(B2,B7)/(2*MAX(B2,B7)),B7-SQRT(2*B2*B7*(1-0.95)),(B7-B2)/2+MAX(B2,B7)*(0.95-0.5))))</x:f>
        <x:v>25.291796067500627</x:v>
      </x:c>
      <x:c r="C15" s="7" t="str">
        <x:v>日</x:v>
      </x:c>
      <x:c r="D15" s="7" t="str">
        <x:v>5%—95%为模型分位区间</x:v>
      </x:c>
    </x:row>
    <x:row r="16" ht="42" customHeight="1">
      <x:c r="A16" s="7" t="str">
        <x:v>W=0概率</x:v>
      </x:c>
      <x:c r="B16" s="24" t="n">
        <x:f>1-MAX(0,MIN(1,(MAX(B7-0+B4,0)^2-MAX(B7-0+B4-B2,0)^2-MAX(B4-0,0)^2+MAX(B4-0-B2,0)^2)/(2*B2*B7)))</x:f>
        <x:v>0.18777777777777782</x:v>
      </x:c>
      <x:c r="C16" s="7" t="str">
        <x:v>比例</x:v>
      </x:c>
      <x:c r="D16" s="7" t="str">
        <x:v>单独列出零值概率质量</x:v>
      </x:c>
    </x:row>
    <x:row r="17" ht="42" customHeight="1">
      <x:c r="A17" s="7" t="str">
        <x:v>P(W&gt;T)</x:v>
      </x:c>
      <x:c r="B17" s="24" t="n">
        <x:f>MAX(0,MIN(1,(MAX(B7-B6+B4,0)^2-MAX(B7-B6+B4-B2,0)^2-MAX(B4-B6,0)^2+MAX(B4-B6-B2,0)^2)/(2*B2*B7)))</x:f>
        <x:v>0.31666666666666665</x:v>
      </x:c>
      <x:c r="C17" s="7" t="str">
        <x:v>比例</x:v>
      </x:c>
      <x:c r="D17" s="7" t="str">
        <x:v>仅在本页假设下成立</x:v>
      </x:c>
    </x:row>
    <x:row r="19">
      <x:c r="A19" s="18" t="str">
        <x:v>编辑输入须满足a&gt;0、b&gt;0、τ≥0、0&lt;η≤1、T≥0。绿色为参数区域（b_eff由公式计算）；法律参数不能任意作为现行义务改写。连续时间近似，实际合规判断回到对应事件日期。</x:v>
      </x:c>
      <x:c r="B19" s="18"/>
      <x:c r="C19" s="18"/>
      <x:c r="D19" s="18"/>
    </x:row>
    <x:row r="20">
      <x:c r="A20" s="18"/>
      <x:c r="B20" s="18"/>
      <x:c r="C20" s="18"/>
      <x:c r="D20" s="18"/>
    </x:row>
    <x:row r="21">
      <x:c r="A21" s="18"/>
      <x:c r="B21" s="18"/>
      <x:c r="C21" s="18"/>
      <x:c r="D21" s="18"/>
    </x:row>
  </x:sheetData>
  <x:mergeCells>
    <x:mergeCell ref="A19:D21"/>
  </x:mergeCells>
  <x:pageMargins left="0.7" right="0.7" top="0.75" bottom="0.75" header="0.3" footer="0.3"/>
  <x:tableParts count="1">
    <x:tablePart xmlns:r="http://schemas.openxmlformats.org/officeDocument/2006/relationships" r:id="R7d0d9ede32aa44fc"/>
  </x:tableParts>
</x:worksheet>
</file>

<file path=xl/worksheets/sheet13.xml><?xml version="1.0" encoding="utf-8"?>
<x:worksheet xmlns:x="http://schemas.openxmlformats.org/spreadsheetml/2006/main">
  <x:sheetPr>
    <x:tabColor rgb="FF285E43"/>
  </x:sheetPr>
  <x:sheetViews>
    <x:sheetView showGridLines="0" workbookViewId="0">
      <x:pane xSplit="2" ySplit="1" topLeftCell="C2" activePane="bottomRight" state="frozen"/>
    </x:sheetView>
  </x:sheetViews>
  <x:sheetFormatPr defaultRowHeight="15"/>
  <x:cols>
    <x:col min="1" max="1" width="22" hidden="0" customWidth="1"/>
    <x:col min="2" max="2" width="10" hidden="0" customWidth="1"/>
    <x:col min="3" max="3" width="10" hidden="0" customWidth="1"/>
    <x:col min="4" max="4" width="14" hidden="0" customWidth="1"/>
    <x:col min="5" max="5" width="10" hidden="0" customWidth="1"/>
    <x:col min="6" max="6" width="12" hidden="0" customWidth="1"/>
    <x:col min="7" max="7" width="10" hidden="0" customWidth="1"/>
    <x:col min="8" max="8" width="15" hidden="0" customWidth="1"/>
    <x:col min="9" max="9" width="15" hidden="0" customWidth="1"/>
    <x:col min="10" max="10" width="16" hidden="0" customWidth="1"/>
    <x:col min="11" max="11" width="16" hidden="0" customWidth="1"/>
    <x:col min="12" max="12" width="16" hidden="0" customWidth="1"/>
    <x:col min="13" max="13" width="16" hidden="0" customWidth="1"/>
    <x:col min="14" max="14" width="18" hidden="0" customWidth="1"/>
    <x:col min="15" max="15" width="18" hidden="0" customWidth="1"/>
  </x:cols>
  <x:sheetData>
    <x:row r="1" ht="32" customHeight="1">
      <x:c r="A1" s="5" t="str">
        <x:v>情景组</x:v>
      </x:c>
      <x:c r="B1" s="5" t="str">
        <x:v>τ</x:v>
      </x:c>
      <x:c r="C1" s="5" t="str">
        <x:v>a</x:v>
      </x:c>
      <x:c r="D1" s="5" t="str">
        <x:v>b（法定）</x:v>
      </x:c>
      <x:c r="E1" s="5" t="str">
        <x:v>η</x:v>
      </x:c>
      <x:c r="F1" s="5" t="str">
        <x:v>b_eff</x:v>
      </x:c>
      <x:c r="G1" s="5" t="str">
        <x:v>T</x:v>
      </x:c>
      <x:c r="H1" s="5" t="str">
        <x:v>可行下界</x:v>
      </x:c>
      <x:c r="I1" s="5" t="str">
        <x:v>可行上界</x:v>
      </x:c>
      <x:c r="J1" s="5" t="str">
        <x:v>期望</x:v>
      </x:c>
      <x:c r="K1" s="5" t="str">
        <x:v>5%分位</x:v>
      </x:c>
      <x:c r="L1" s="5" t="str">
        <x:v>中位数</x:v>
      </x:c>
      <x:c r="M1" s="5" t="str">
        <x:v>95%分位</x:v>
      </x:c>
      <x:c r="N1" s="5" t="str">
        <x:v>零值概率</x:v>
      </x:c>
      <x:c r="O1" s="5" t="str">
        <x:v>P(W&gt;T)</x:v>
      </x:c>
    </x:row>
    <x:row r="2" ht="38" customHeight="1">
      <x:c r="A2" s="7" t="str">
        <x:v>交接间隔</x:v>
      </x:c>
      <x:c r="B2" s="7" t="n">
        <x:v>0</x:v>
      </x:c>
      <x:c r="C2" s="7" t="n">
        <x:v>15</x:v>
      </x:c>
      <x:c r="D2" s="7" t="n">
        <x:v>30</x:v>
      </x:c>
      <x:c r="E2" s="7" t="n">
        <x:v>1</x:v>
      </x:c>
      <x:c r="F2" s="7" t="n">
        <x:f>D2*E2</x:f>
        <x:v>30</x:v>
      </x:c>
      <x:c r="G2" s="7" t="n">
        <x:v>15</x:v>
      </x:c>
      <x:c r="H2" s="23" t="n">
        <x:f>MAX(B2-C2,0)</x:f>
        <x:v>0</x:v>
      </x:c>
      <x:c r="I2" s="23" t="n">
        <x:f>B2+F2</x:f>
        <x:v>30</x:v>
      </x:c>
      <x:c r="J2" s="23" t="n">
        <x:f>(MAX(B2+F2,0)^3-MAX(B2+F2-C2,0)^3-MAX(B2,0)^3+MAX(B2-C2,0)^3)/(6*C2*F2)</x:f>
        <x:v>8.75</x:v>
      </x:c>
      <x:c r="K2" s="23" t="n">
        <x:f>MAX(0,B2+IF(0.05&lt;MIN(C2,F2)/(2*MAX(C2,F2)),-C2+SQRT(2*C2*F2*0.05),IF(0.05&gt;1-MIN(C2,F2)/(2*MAX(C2,F2)),F2-SQRT(2*C2*F2*(1-0.05)),(F2-C2)/2+MAX(C2,F2)*(0.05-0.5))))</x:f>
        <x:v>0</x:v>
      </x:c>
      <x:c r="L2" s="23" t="n">
        <x:f>MAX(0,B2+IF(0.5&lt;MIN(C2,F2)/(2*MAX(C2,F2)),-C2+SQRT(2*C2*F2*0.5),IF(0.5&gt;1-MIN(C2,F2)/(2*MAX(C2,F2)),F2-SQRT(2*C2*F2*(1-0.5)),(F2-C2)/2+MAX(C2,F2)*(0.5-0.5))))</x:f>
        <x:v>7.5</x:v>
      </x:c>
      <x:c r="M2" s="23" t="n">
        <x:f>MAX(0,B2+IF(0.95&lt;MIN(C2,F2)/(2*MAX(C2,F2)),-C2+SQRT(2*C2*F2*0.95),IF(0.95&gt;1-MIN(C2,F2)/(2*MAX(C2,F2)),F2-SQRT(2*C2*F2*(1-0.95)),(F2-C2)/2+MAX(C2,F2)*(0.95-0.5))))</x:f>
        <x:v>23.291796067500627</x:v>
      </x:c>
      <x:c r="N2" s="24" t="n">
        <x:f>1-MAX(0,MIN(1,(MAX(F2-0+B2,0)^2-MAX(F2-0+B2-C2,0)^2-MAX(B2-0,0)^2+MAX(B2-0-C2,0)^2)/(2*C2*F2)))</x:f>
        <x:v>0.25</x:v>
      </x:c>
      <x:c r="O2" s="24" t="n">
        <x:f>MAX(0,MIN(1,(MAX(F2-G2+B2,0)^2-MAX(F2-G2+B2-C2,0)^2-MAX(B2-G2,0)^2+MAX(B2-G2-C2,0)^2)/(2*C2*F2)))</x:f>
        <x:v>0.25</x:v>
      </x:c>
    </x:row>
    <x:row r="3" ht="38" customHeight="1">
      <x:c r="A3" s="7" t="str">
        <x:v>交接间隔</x:v>
      </x:c>
      <x:c r="B3" s="7" t="n">
        <x:v>2</x:v>
      </x:c>
      <x:c r="C3" s="7" t="n">
        <x:v>15</x:v>
      </x:c>
      <x:c r="D3" s="7" t="n">
        <x:v>30</x:v>
      </x:c>
      <x:c r="E3" s="7" t="n">
        <x:v>1</x:v>
      </x:c>
      <x:c r="F3" s="7" t="n">
        <x:f>D3*E3</x:f>
        <x:v>30</x:v>
      </x:c>
      <x:c r="G3" s="7" t="n">
        <x:v>15</x:v>
      </x:c>
      <x:c r="H3" s="23" t="n">
        <x:f>MAX(B3-C3,0)</x:f>
        <x:v>0</x:v>
      </x:c>
      <x:c r="I3" s="23" t="n">
        <x:f>B3+F3</x:f>
        <x:v>32</x:v>
      </x:c>
      <x:c r="J3" s="23" t="n">
        <x:f>(MAX(B3+F3,0)^3-MAX(B3+F3-C3,0)^3-MAX(B3,0)^3+MAX(B3-C3,0)^3)/(6*C3*F3)</x:f>
        <x:v>10.313703703703704</x:v>
      </x:c>
      <x:c r="K3" s="23" t="n">
        <x:f>MAX(0,B3+IF(0.05&lt;MIN(C3,F3)/(2*MAX(C3,F3)),-C3+SQRT(2*C3*F3*0.05),IF(0.05&gt;1-MIN(C3,F3)/(2*MAX(C3,F3)),F3-SQRT(2*C3*F3*(1-0.05)),(F3-C3)/2+MAX(C3,F3)*(0.05-0.5))))</x:f>
        <x:v>0</x:v>
      </x:c>
      <x:c r="L3" s="23" t="n">
        <x:f>MAX(0,B3+IF(0.5&lt;MIN(C3,F3)/(2*MAX(C3,F3)),-C3+SQRT(2*C3*F3*0.5),IF(0.5&gt;1-MIN(C3,F3)/(2*MAX(C3,F3)),F3-SQRT(2*C3*F3*(1-0.5)),(F3-C3)/2+MAX(C3,F3)*(0.5-0.5))))</x:f>
        <x:v>9.5</x:v>
      </x:c>
      <x:c r="M3" s="23" t="n">
        <x:f>MAX(0,B3+IF(0.95&lt;MIN(C3,F3)/(2*MAX(C3,F3)),-C3+SQRT(2*C3*F3*0.95),IF(0.95&gt;1-MIN(C3,F3)/(2*MAX(C3,F3)),F3-SQRT(2*C3*F3*(1-0.95)),(F3-C3)/2+MAX(C3,F3)*(0.95-0.5))))</x:f>
        <x:v>25.291796067500627</x:v>
      </x:c>
      <x:c r="N3" s="24" t="n">
        <x:f>1-MAX(0,MIN(1,(MAX(F3-0+B3,0)^2-MAX(F3-0+B3-C3,0)^2-MAX(B3-0,0)^2+MAX(B3-0-C3,0)^2)/(2*C3*F3)))</x:f>
        <x:v>0.18777777777777782</x:v>
      </x:c>
      <x:c r="O3" s="24" t="n">
        <x:f>MAX(0,MIN(1,(MAX(F3-G3+B3,0)^2-MAX(F3-G3+B3-C3,0)^2-MAX(B3-G3,0)^2+MAX(B3-G3-C3,0)^2)/(2*C3*F3)))</x:f>
        <x:v>0.31666666666666665</x:v>
      </x:c>
    </x:row>
    <x:row r="4" ht="38" customHeight="1">
      <x:c r="A4" s="7" t="str">
        <x:v>交接间隔</x:v>
      </x:c>
      <x:c r="B4" s="7" t="n">
        <x:v>5</x:v>
      </x:c>
      <x:c r="C4" s="7" t="n">
        <x:v>15</x:v>
      </x:c>
      <x:c r="D4" s="7" t="n">
        <x:v>30</x:v>
      </x:c>
      <x:c r="E4" s="7" t="n">
        <x:v>1</x:v>
      </x:c>
      <x:c r="F4" s="7" t="n">
        <x:f>D4*E4</x:f>
        <x:v>30</x:v>
      </x:c>
      <x:c r="G4" s="7" t="n">
        <x:v>15</x:v>
      </x:c>
      <x:c r="H4" s="23" t="n">
        <x:f>MAX(B4-C4,0)</x:f>
        <x:v>0</x:v>
      </x:c>
      <x:c r="I4" s="23" t="n">
        <x:f>B4+F4</x:f>
        <x:v>35</x:v>
      </x:c>
      <x:c r="J4" s="23" t="n">
        <x:f>(MAX(B4+F4,0)^3-MAX(B4+F4-C4,0)^3-MAX(B4,0)^3+MAX(B4-C4,0)^3)/(6*C4*F4)</x:f>
        <x:v>12.87037037037037</x:v>
      </x:c>
      <x:c r="K4" s="23" t="n">
        <x:f>MAX(0,B4+IF(0.05&lt;MIN(C4,F4)/(2*MAX(C4,F4)),-C4+SQRT(2*C4*F4*0.05),IF(0.05&gt;1-MIN(C4,F4)/(2*MAX(C4,F4)),F4-SQRT(2*C4*F4*(1-0.05)),(F4-C4)/2+MAX(C4,F4)*(0.05-0.5))))</x:f>
        <x:v>0</x:v>
      </x:c>
      <x:c r="L4" s="23" t="n">
        <x:f>MAX(0,B4+IF(0.5&lt;MIN(C4,F4)/(2*MAX(C4,F4)),-C4+SQRT(2*C4*F4*0.5),IF(0.5&gt;1-MIN(C4,F4)/(2*MAX(C4,F4)),F4-SQRT(2*C4*F4*(1-0.5)),(F4-C4)/2+MAX(C4,F4)*(0.5-0.5))))</x:f>
        <x:v>12.5</x:v>
      </x:c>
      <x:c r="M4" s="23" t="n">
        <x:f>MAX(0,B4+IF(0.95&lt;MIN(C4,F4)/(2*MAX(C4,F4)),-C4+SQRT(2*C4*F4*0.95),IF(0.95&gt;1-MIN(C4,F4)/(2*MAX(C4,F4)),F4-SQRT(2*C4*F4*(1-0.95)),(F4-C4)/2+MAX(C4,F4)*(0.95-0.5))))</x:f>
        <x:v>28.291796067500627</x:v>
      </x:c>
      <x:c r="N4" s="24" t="n">
        <x:f>1-MAX(0,MIN(1,(MAX(F4-0+B4,0)^2-MAX(F4-0+B4-C4,0)^2-MAX(B4-0,0)^2+MAX(B4-0-C4,0)^2)/(2*C4*F4)))</x:f>
        <x:v>0.11111111111111116</x:v>
      </x:c>
      <x:c r="O4" s="24" t="n">
        <x:f>MAX(0,MIN(1,(MAX(F4-G4+B4,0)^2-MAX(F4-G4+B4-C4,0)^2-MAX(B4-G4,0)^2+MAX(B4-G4-C4,0)^2)/(2*C4*F4)))</x:f>
        <x:v>0.4166666666666667</x:v>
      </x:c>
    </x:row>
    <x:row r="5" ht="38" customHeight="1">
      <x:c r="A5" s="7" t="str">
        <x:v>交接间隔</x:v>
      </x:c>
      <x:c r="B5" s="7" t="n">
        <x:v>10</x:v>
      </x:c>
      <x:c r="C5" s="7" t="n">
        <x:v>15</x:v>
      </x:c>
      <x:c r="D5" s="7" t="n">
        <x:v>30</x:v>
      </x:c>
      <x:c r="E5" s="7" t="n">
        <x:v>1</x:v>
      </x:c>
      <x:c r="F5" s="7" t="n">
        <x:f>D5*E5</x:f>
        <x:v>30</x:v>
      </x:c>
      <x:c r="G5" s="7" t="n">
        <x:v>15</x:v>
      </x:c>
      <x:c r="H5" s="23" t="n">
        <x:f>MAX(B5-C5,0)</x:f>
        <x:v>0</x:v>
      </x:c>
      <x:c r="I5" s="23" t="n">
        <x:f>B5+F5</x:f>
        <x:v>40</x:v>
      </x:c>
      <x:c r="J5" s="23" t="n">
        <x:f>(MAX(B5+F5,0)^3-MAX(B5+F5-C5,0)^3-MAX(B5,0)^3+MAX(B5-C5,0)^3)/(6*C5*F5)</x:f>
        <x:v>17.546296296296298</x:v>
      </x:c>
      <x:c r="K5" s="23" t="n">
        <x:f>MAX(0,B5+IF(0.05&lt;MIN(C5,F5)/(2*MAX(C5,F5)),-C5+SQRT(2*C5*F5*0.05),IF(0.05&gt;1-MIN(C5,F5)/(2*MAX(C5,F5)),F5-SQRT(2*C5*F5*(1-0.05)),(F5-C5)/2+MAX(C5,F5)*(0.05-0.5))))</x:f>
        <x:v>1.7082039324993694</x:v>
      </x:c>
      <x:c r="L5" s="23" t="n">
        <x:f>MAX(0,B5+IF(0.5&lt;MIN(C5,F5)/(2*MAX(C5,F5)),-C5+SQRT(2*C5*F5*0.5),IF(0.5&gt;1-MIN(C5,F5)/(2*MAX(C5,F5)),F5-SQRT(2*C5*F5*(1-0.5)),(F5-C5)/2+MAX(C5,F5)*(0.5-0.5))))</x:f>
        <x:v>17.5</x:v>
      </x:c>
      <x:c r="M5" s="23" t="n">
        <x:f>MAX(0,B5+IF(0.95&lt;MIN(C5,F5)/(2*MAX(C5,F5)),-C5+SQRT(2*C5*F5*0.95),IF(0.95&gt;1-MIN(C5,F5)/(2*MAX(C5,F5)),F5-SQRT(2*C5*F5*(1-0.95)),(F5-C5)/2+MAX(C5,F5)*(0.95-0.5))))</x:f>
        <x:v>33.29179606750063</x:v>
      </x:c>
      <x:c r="N5" s="24" t="n">
        <x:f>1-MAX(0,MIN(1,(MAX(F5-0+B5,0)^2-MAX(F5-0+B5-C5,0)^2-MAX(B5-0,0)^2+MAX(B5-0-C5,0)^2)/(2*C5*F5)))</x:f>
        <x:v>0.02777777777777779</x:v>
      </x:c>
      <x:c r="O5" s="24" t="n">
        <x:f>MAX(0,MIN(1,(MAX(F5-G5+B5,0)^2-MAX(F5-G5+B5-C5,0)^2-MAX(B5-G5,0)^2+MAX(B5-G5-C5,0)^2)/(2*C5*F5)))</x:f>
        <x:v>0.5833333333333334</x:v>
      </x:c>
    </x:row>
    <x:row r="6" ht="38" customHeight="1">
      <x:c r="A6" s="7" t="str">
        <x:v>自愿提前报送</x:v>
      </x:c>
      <x:c r="B6" s="7" t="n">
        <x:v>2</x:v>
      </x:c>
      <x:c r="C6" s="7" t="n">
        <x:v>15</x:v>
      </x:c>
      <x:c r="D6" s="7" t="n">
        <x:v>30</x:v>
      </x:c>
      <x:c r="E6" s="7" t="n">
        <x:v>0.25</x:v>
      </x:c>
      <x:c r="F6" s="7" t="n">
        <x:f>D6*E6</x:f>
        <x:v>7.5</x:v>
      </x:c>
      <x:c r="G6" s="7" t="n">
        <x:v>15</x:v>
      </x:c>
      <x:c r="H6" s="23" t="n">
        <x:f>MAX(B6-C6,0)</x:f>
        <x:v>0</x:v>
      </x:c>
      <x:c r="I6" s="23" t="n">
        <x:f>B6+F6</x:f>
        <x:v>9.5</x:v>
      </x:c>
      <x:c r="J6" s="23" t="n">
        <x:f>(MAX(B6+F6,0)^3-MAX(B6+F6-C6,0)^3-MAX(B6,0)^3+MAX(B6-C6,0)^3)/(6*C6*F6)</x:f>
        <x:v>1.2583333333333333</x:v>
      </x:c>
      <x:c r="K6" s="23" t="n">
        <x:f>MAX(0,B6+IF(0.05&lt;MIN(C6,F6)/(2*MAX(C6,F6)),-C6+SQRT(2*C6*F6*0.05),IF(0.05&gt;1-MIN(C6,F6)/(2*MAX(C6,F6)),F6-SQRT(2*C6*F6*(1-0.05)),(F6-C6)/2+MAX(C6,F6)*(0.05-0.5))))</x:f>
        <x:v>0</x:v>
      </x:c>
      <x:c r="L6" s="23" t="n">
        <x:f>MAX(0,B6+IF(0.5&lt;MIN(C6,F6)/(2*MAX(C6,F6)),-C6+SQRT(2*C6*F6*0.5),IF(0.5&gt;1-MIN(C6,F6)/(2*MAX(C6,F6)),F6-SQRT(2*C6*F6*(1-0.5)),(F6-C6)/2+MAX(C6,F6)*(0.5-0.5))))</x:f>
        <x:v>0</x:v>
      </x:c>
      <x:c r="M6" s="23" t="n">
        <x:f>MAX(0,B6+IF(0.95&lt;MIN(C6,F6)/(2*MAX(C6,F6)),-C6+SQRT(2*C6*F6*0.95),IF(0.95&gt;1-MIN(C6,F6)/(2*MAX(C6,F6)),F6-SQRT(2*C6*F6*(1-0.95)),(F6-C6)/2+MAX(C6,F6)*(0.95-0.5))))</x:f>
        <x:v>6.1458980337503135</x:v>
      </x:c>
      <x:c r="N6" s="24" t="n">
        <x:f>1-MAX(0,MIN(1,(MAX(F6-0+B6,0)^2-MAX(F6-0+B6-C6,0)^2-MAX(B6-0,0)^2+MAX(B6-0-C6,0)^2)/(2*C6*F6)))</x:f>
        <x:v>0.6166666666666667</x:v>
      </x:c>
      <x:c r="O6" s="24" t="n">
        <x:f>MAX(0,MIN(1,(MAX(F6-G6+B6,0)^2-MAX(F6-G6+B6-C6,0)^2-MAX(B6-G6,0)^2+MAX(B6-G6-C6,0)^2)/(2*C6*F6)))</x:f>
        <x:v>0</x:v>
      </x:c>
    </x:row>
    <x:row r="7" ht="38" customHeight="1">
      <x:c r="A7" s="7" t="str">
        <x:v>自愿提前报送</x:v>
      </x:c>
      <x:c r="B7" s="7" t="n">
        <x:v>2</x:v>
      </x:c>
      <x:c r="C7" s="7" t="n">
        <x:v>15</x:v>
      </x:c>
      <x:c r="D7" s="7" t="n">
        <x:v>30</x:v>
      </x:c>
      <x:c r="E7" s="7" t="n">
        <x:v>0.5</x:v>
      </x:c>
      <x:c r="F7" s="7" t="n">
        <x:f>D7*E7</x:f>
        <x:v>15</x:v>
      </x:c>
      <x:c r="G7" s="7" t="n">
        <x:v>15</x:v>
      </x:c>
      <x:c r="H7" s="23" t="n">
        <x:f>MAX(B7-C7,0)</x:f>
        <x:v>0</x:v>
      </x:c>
      <x:c r="I7" s="23" t="n">
        <x:f>B7+F7</x:f>
        <x:v>17</x:v>
      </x:c>
      <x:c r="J7" s="23" t="n">
        <x:f>(MAX(B7+F7,0)^3-MAX(B7+F7-C7,0)^3-MAX(B7,0)^3+MAX(B7-C7,0)^3)/(6*C7*F7)</x:f>
        <x:v>3.627407407407407</x:v>
      </x:c>
      <x:c r="K7" s="23" t="n">
        <x:f>MAX(0,B7+IF(0.05&lt;MIN(C7,F7)/(2*MAX(C7,F7)),-C7+SQRT(2*C7*F7*0.05),IF(0.05&gt;1-MIN(C7,F7)/(2*MAX(C7,F7)),F7-SQRT(2*C7*F7*(1-0.05)),(F7-C7)/2+MAX(C7,F7)*(0.05-0.5))))</x:f>
        <x:v>0</x:v>
      </x:c>
      <x:c r="L7" s="23" t="n">
        <x:f>MAX(0,B7+IF(0.5&lt;MIN(C7,F7)/(2*MAX(C7,F7)),-C7+SQRT(2*C7*F7*0.5),IF(0.5&gt;1-MIN(C7,F7)/(2*MAX(C7,F7)),F7-SQRT(2*C7*F7*(1-0.5)),(F7-C7)/2+MAX(C7,F7)*(0.5-0.5))))</x:f>
        <x:v>2</x:v>
      </x:c>
      <x:c r="M7" s="23" t="n">
        <x:f>MAX(0,B7+IF(0.95&lt;MIN(C7,F7)/(2*MAX(C7,F7)),-C7+SQRT(2*C7*F7*0.95),IF(0.95&gt;1-MIN(C7,F7)/(2*MAX(C7,F7)),F7-SQRT(2*C7*F7*(1-0.95)),(F7-C7)/2+MAX(C7,F7)*(0.95-0.5))))</x:f>
        <x:v>12.25658350974743</x:v>
      </x:c>
      <x:c r="N7" s="24" t="n">
        <x:f>1-MAX(0,MIN(1,(MAX(F7-0+B7,0)^2-MAX(F7-0+B7-C7,0)^2-MAX(B7-0,0)^2+MAX(B7-0-C7,0)^2)/(2*C7*F7)))</x:f>
        <x:v>0.37555555555555553</x:v>
      </x:c>
      <x:c r="O7" s="24" t="n">
        <x:f>MAX(0,MIN(1,(MAX(F7-G7+B7,0)^2-MAX(F7-G7+B7-C7,0)^2-MAX(B7-G7,0)^2+MAX(B7-G7-C7,0)^2)/(2*C7*F7)))</x:f>
        <x:v>0.008888888888888889</x:v>
      </x:c>
    </x:row>
    <x:row r="8" ht="38" customHeight="1">
      <x:c r="A8" s="7" t="str">
        <x:v>自愿提前报送</x:v>
      </x:c>
      <x:c r="B8" s="7" t="n">
        <x:v>2</x:v>
      </x:c>
      <x:c r="C8" s="7" t="n">
        <x:v>15</x:v>
      </x:c>
      <x:c r="D8" s="7" t="n">
        <x:v>30</x:v>
      </x:c>
      <x:c r="E8" s="7" t="n">
        <x:v>0.75</x:v>
      </x:c>
      <x:c r="F8" s="7" t="n">
        <x:f>D8*E8</x:f>
        <x:v>22.5</x:v>
      </x:c>
      <x:c r="G8" s="7" t="n">
        <x:v>15</x:v>
      </x:c>
      <x:c r="H8" s="23" t="n">
        <x:f>MAX(B8-C8,0)</x:f>
        <x:v>0</x:v>
      </x:c>
      <x:c r="I8" s="23" t="n">
        <x:f>B8+F8</x:f>
        <x:v>24.5</x:v>
      </x:c>
      <x:c r="J8" s="23" t="n">
        <x:f>(MAX(B8+F8,0)^3-MAX(B8+F8-C8,0)^3-MAX(B8,0)^3+MAX(B8-C8,0)^3)/(6*C8*F8)</x:f>
        <x:v>6.834938271604938</x:v>
      </x:c>
      <x:c r="K8" s="23" t="n">
        <x:f>MAX(0,B8+IF(0.05&lt;MIN(C8,F8)/(2*MAX(C8,F8)),-C8+SQRT(2*C8*F8*0.05),IF(0.05&gt;1-MIN(C8,F8)/(2*MAX(C8,F8)),F8-SQRT(2*C8*F8*(1-0.05)),(F8-C8)/2+MAX(C8,F8)*(0.05-0.5))))</x:f>
        <x:v>0</x:v>
      </x:c>
      <x:c r="L8" s="23" t="n">
        <x:f>MAX(0,B8+IF(0.5&lt;MIN(C8,F8)/(2*MAX(C8,F8)),-C8+SQRT(2*C8*F8*0.5),IF(0.5&gt;1-MIN(C8,F8)/(2*MAX(C8,F8)),F8-SQRT(2*C8*F8*(1-0.5)),(F8-C8)/2+MAX(C8,F8)*(0.5-0.5))))</x:f>
        <x:v>5.75</x:v>
      </x:c>
      <x:c r="M8" s="23" t="n">
        <x:f>MAX(0,B8+IF(0.95&lt;MIN(C8,F8)/(2*MAX(C8,F8)),-C8+SQRT(2*C8*F8*0.95),IF(0.95&gt;1-MIN(C8,F8)/(2*MAX(C8,F8)),F8-SQRT(2*C8*F8*(1-0.95)),(F8-C8)/2+MAX(C8,F8)*(0.95-0.5))))</x:f>
        <x:v>18.69052498068887</x:v>
      </x:c>
      <x:c r="N8" s="24" t="n">
        <x:f>1-MAX(0,MIN(1,(MAX(F8-0+B8,0)^2-MAX(F8-0+B8-C8,0)^2-MAX(B8-0,0)^2+MAX(B8-0-C8,0)^2)/(2*C8*F8)))</x:f>
        <x:v>0.25037037037037035</x:v>
      </x:c>
      <x:c r="O8" s="24" t="n">
        <x:f>MAX(0,MIN(1,(MAX(F8-G8+B8,0)^2-MAX(F8-G8+B8-C8,0)^2-MAX(B8-G8,0)^2+MAX(B8-G8-C8,0)^2)/(2*C8*F8)))</x:f>
        <x:v>0.1337037037037037</x:v>
      </x:c>
    </x:row>
    <x:row r="9" ht="38" customHeight="1">
      <x:c r="A9" s="7" t="str">
        <x:v>自愿提前报送</x:v>
      </x:c>
      <x:c r="B9" s="7" t="n">
        <x:v>2</x:v>
      </x:c>
      <x:c r="C9" s="7" t="n">
        <x:v>15</x:v>
      </x:c>
      <x:c r="D9" s="7" t="n">
        <x:v>30</x:v>
      </x:c>
      <x:c r="E9" s="7" t="n">
        <x:v>1</x:v>
      </x:c>
      <x:c r="F9" s="7" t="n">
        <x:f>D9*E9</x:f>
        <x:v>30</x:v>
      </x:c>
      <x:c r="G9" s="7" t="n">
        <x:v>15</x:v>
      </x:c>
      <x:c r="H9" s="23" t="n">
        <x:f>MAX(B9-C9,0)</x:f>
        <x:v>0</x:v>
      </x:c>
      <x:c r="I9" s="23" t="n">
        <x:f>B9+F9</x:f>
        <x:v>32</x:v>
      </x:c>
      <x:c r="J9" s="23" t="n">
        <x:f>(MAX(B9+F9,0)^3-MAX(B9+F9-C9,0)^3-MAX(B9,0)^3+MAX(B9-C9,0)^3)/(6*C9*F9)</x:f>
        <x:v>10.313703703703704</x:v>
      </x:c>
      <x:c r="K9" s="23" t="n">
        <x:f>MAX(0,B9+IF(0.05&lt;MIN(C9,F9)/(2*MAX(C9,F9)),-C9+SQRT(2*C9*F9*0.05),IF(0.05&gt;1-MIN(C9,F9)/(2*MAX(C9,F9)),F9-SQRT(2*C9*F9*(1-0.05)),(F9-C9)/2+MAX(C9,F9)*(0.05-0.5))))</x:f>
        <x:v>0</x:v>
      </x:c>
      <x:c r="L9" s="23" t="n">
        <x:f>MAX(0,B9+IF(0.5&lt;MIN(C9,F9)/(2*MAX(C9,F9)),-C9+SQRT(2*C9*F9*0.5),IF(0.5&gt;1-MIN(C9,F9)/(2*MAX(C9,F9)),F9-SQRT(2*C9*F9*(1-0.5)),(F9-C9)/2+MAX(C9,F9)*(0.5-0.5))))</x:f>
        <x:v>9.5</x:v>
      </x:c>
      <x:c r="M9" s="23" t="n">
        <x:f>MAX(0,B9+IF(0.95&lt;MIN(C9,F9)/(2*MAX(C9,F9)),-C9+SQRT(2*C9*F9*0.95),IF(0.95&gt;1-MIN(C9,F9)/(2*MAX(C9,F9)),F9-SQRT(2*C9*F9*(1-0.95)),(F9-C9)/2+MAX(C9,F9)*(0.95-0.5))))</x:f>
        <x:v>25.291796067500627</x:v>
      </x:c>
      <x:c r="N9" s="24" t="n">
        <x:f>1-MAX(0,MIN(1,(MAX(F9-0+B9,0)^2-MAX(F9-0+B9-C9,0)^2-MAX(B9-0,0)^2+MAX(B9-0-C9,0)^2)/(2*C9*F9)))</x:f>
        <x:v>0.18777777777777782</x:v>
      </x:c>
      <x:c r="O9" s="24" t="n">
        <x:f>MAX(0,MIN(1,(MAX(F9-G9+B9,0)^2-MAX(F9-G9+B9-C9,0)^2-MAX(B9-G9,0)^2+MAX(B9-G9-C9,0)^2)/(2*C9*F9)))</x:f>
        <x:v>0.31666666666666665</x:v>
      </x:c>
    </x:row>
    <x:row r="12">
      <x:c r="A12" s="18" t="str">
        <x:v>两组均保留τ=2、η=1共同基准便于比较。各行均为独立均匀报送情景；没有虚构企业样本。分位区间不是置信区间。η改变自愿报送范围；法定b始终为30日。完整公式见单元格，源脚本用数值积分独立核验。</x:v>
      </x:c>
      <x:c r="B12" s="18"/>
      <x:c r="C12" s="18"/>
      <x:c r="D12" s="18"/>
      <x:c r="E12" s="18"/>
      <x:c r="F12" s="18"/>
      <x:c r="G12" s="18"/>
      <x:c r="H12" s="18"/>
      <x:c r="I12" s="18"/>
      <x:c r="J12" s="18"/>
      <x:c r="K12" s="18"/>
      <x:c r="L12" s="18"/>
      <x:c r="M12" s="18"/>
      <x:c r="N12" s="18"/>
      <x:c r="O12" s="18"/>
    </x:row>
    <x:row r="13">
      <x:c r="A13" s="18"/>
      <x:c r="B13" s="18"/>
      <x:c r="C13" s="18"/>
      <x:c r="D13" s="18"/>
      <x:c r="E13" s="18"/>
      <x:c r="F13" s="18"/>
      <x:c r="G13" s="18"/>
      <x:c r="H13" s="18"/>
      <x:c r="I13" s="18"/>
      <x:c r="J13" s="18"/>
      <x:c r="K13" s="18"/>
      <x:c r="L13" s="18"/>
      <x:c r="M13" s="18"/>
      <x:c r="N13" s="18"/>
      <x:c r="O13" s="18"/>
    </x:row>
    <x:row r="14">
      <x:c r="A14" s="18"/>
      <x:c r="B14" s="18"/>
      <x:c r="C14" s="18"/>
      <x:c r="D14" s="18"/>
      <x:c r="E14" s="18"/>
      <x:c r="F14" s="18"/>
      <x:c r="G14" s="18"/>
      <x:c r="H14" s="18"/>
      <x:c r="I14" s="18"/>
      <x:c r="J14" s="18"/>
      <x:c r="K14" s="18"/>
      <x:c r="L14" s="18"/>
      <x:c r="M14" s="18"/>
      <x:c r="N14" s="18"/>
      <x:c r="O14" s="18"/>
    </x:row>
  </x:sheetData>
  <x:mergeCells>
    <x:mergeCell ref="A12:O14"/>
  </x:mergeCells>
  <x:pageMargins left="0.7" right="0.7" top="0.75" bottom="0.75" header="0.3" footer="0.3"/>
  <x:tableParts count="1">
    <x:tablePart xmlns:r="http://schemas.openxmlformats.org/officeDocument/2006/relationships" r:id="R92133507f63246be"/>
  </x:tableParts>
</x:worksheet>
</file>

<file path=xl/worksheets/sheet14.xml><?xml version="1.0" encoding="utf-8"?>
<x:worksheet xmlns:x="http://schemas.openxmlformats.org/spreadsheetml/2006/main">
  <x:sheetPr>
    <x:tabColor rgb="FF285E43"/>
  </x:sheetPr>
  <x:sheetViews>
    <x:sheetView showGridLines="0" workbookViewId="0">
      <x:pane xSplit="2" ySplit="1" topLeftCell="C2" activePane="bottomRight" state="frozen"/>
    </x:sheetView>
  </x:sheetViews>
  <x:sheetFormatPr defaultRowHeight="15"/>
  <x:cols>
    <x:col min="1" max="1" width="20" hidden="0" customWidth="1"/>
    <x:col min="2" max="2" width="24" hidden="0" customWidth="1"/>
    <x:col min="3" max="3" width="80" hidden="0" customWidth="1"/>
    <x:col min="4" max="4" width="20" hidden="0" customWidth="1"/>
    <x:col min="5" max="5" width="80" hidden="0" customWidth="1"/>
  </x:cols>
  <x:sheetData>
    <x:row r="1" ht="32" customHeight="1">
      <x:c r="A1" s="5" t="str">
        <x:v>检验类型</x:v>
      </x:c>
      <x:c r="B1" s="5" t="str">
        <x:v>上游U假设</x:v>
      </x:c>
      <x:c r="C1" s="5" t="str">
        <x:v>下游V假设或依赖定义</x:v>
      </x:c>
      <x:c r="D1" s="5" t="str">
        <x:v>P(W&gt;15)</x:v>
      </x:c>
      <x:c r="E1" s="5" t="str">
        <x:v>计算与边界</x:v>
      </x:c>
    </x:row>
    <x:row r="2" ht="48" customHeight="1">
      <x:c r="A2" s="7" t="str">
        <x:v>边际分布</x:v>
      </x:c>
      <x:c r="B2" s="7" t="str">
        <x:v>前置三角</x:v>
      </x:c>
      <x:c r="C2" s="7" t="str">
        <x:v>前置三角</x:v>
      </x:c>
      <x:c r="D2" s="24" t="n">
        <x:v>0.1738888888888889</x:v>
      </x:c>
      <x:c r="E2" s="7" t="str">
        <x:v>τ=2、a=15、b=30；独立，分段密度积分</x:v>
      </x:c>
    </x:row>
    <x:row r="3" ht="48" customHeight="1">
      <x:c r="A3" s="7" t="str">
        <x:v>边际分布</x:v>
      </x:c>
      <x:c r="B3" s="7" t="str">
        <x:v>前置三角</x:v>
      </x:c>
      <x:c r="C3" s="7" t="str">
        <x:v>均匀</x:v>
      </x:c>
      <x:c r="D3" s="24" t="n">
        <x:v>0.4</x:v>
      </x:c>
      <x:c r="E3" s="7" t="str">
        <x:v>τ=2、a=15、b=30；独立，分段密度积分</x:v>
      </x:c>
    </x:row>
    <x:row r="4" ht="48" customHeight="1">
      <x:c r="A4" s="7" t="str">
        <x:v>边际分布</x:v>
      </x:c>
      <x:c r="B4" s="7" t="str">
        <x:v>前置三角</x:v>
      </x:c>
      <x:c r="C4" s="7" t="str">
        <x:v>后置三角</x:v>
      </x:c>
      <x:c r="D4" s="24" t="n">
        <x:v>0.6261111111111111</x:v>
      </x:c>
      <x:c r="E4" s="7" t="str">
        <x:v>τ=2、a=15、b=30；独立，分段密度积分</x:v>
      </x:c>
    </x:row>
    <x:row r="5" ht="48" customHeight="1">
      <x:c r="A5" s="7" t="str">
        <x:v>边际分布</x:v>
      </x:c>
      <x:c r="B5" s="7" t="str">
        <x:v>均匀</x:v>
      </x:c>
      <x:c r="C5" s="7" t="str">
        <x:v>前置三角</x:v>
      </x:c>
      <x:c r="D5" s="24" t="n">
        <x:v>0.12111111111111111</x:v>
      </x:c>
      <x:c r="E5" s="7" t="str">
        <x:v>τ=2、a=15、b=30；独立，分段密度积分</x:v>
      </x:c>
    </x:row>
    <x:row r="6" ht="48" customHeight="1">
      <x:c r="A6" s="7" t="str">
        <x:v>边际分布</x:v>
      </x:c>
      <x:c r="B6" s="7" t="str">
        <x:v>均匀</x:v>
      </x:c>
      <x:c r="C6" s="7" t="str">
        <x:v>均匀</x:v>
      </x:c>
      <x:c r="D6" s="24" t="n">
        <x:v>0.3166666666666667</x:v>
      </x:c>
      <x:c r="E6" s="7" t="str">
        <x:v>τ=2、a=15、b=30；独立，分段密度积分</x:v>
      </x:c>
    </x:row>
    <x:row r="7" ht="48" customHeight="1">
      <x:c r="A7" s="7" t="str">
        <x:v>边际分布</x:v>
      </x:c>
      <x:c r="B7" s="7" t="str">
        <x:v>均匀</x:v>
      </x:c>
      <x:c r="C7" s="7" t="str">
        <x:v>后置三角</x:v>
      </x:c>
      <x:c r="D7" s="24" t="n">
        <x:v>0.5122222222222224</x:v>
      </x:c>
      <x:c r="E7" s="7" t="str">
        <x:v>τ=2、a=15、b=30；独立，分段密度积分</x:v>
      </x:c>
    </x:row>
    <x:row r="8" ht="48" customHeight="1">
      <x:c r="A8" s="7" t="str">
        <x:v>边际分布</x:v>
      </x:c>
      <x:c r="B8" s="7" t="str">
        <x:v>后置三角</x:v>
      </x:c>
      <x:c r="C8" s="7" t="str">
        <x:v>前置三角</x:v>
      </x:c>
      <x:c r="D8" s="24" t="n">
        <x:v>0.06833333333333334</x:v>
      </x:c>
      <x:c r="E8" s="7" t="str">
        <x:v>τ=2、a=15、b=30；独立，分段密度积分</x:v>
      </x:c>
    </x:row>
    <x:row r="9" ht="48" customHeight="1">
      <x:c r="A9" s="7" t="str">
        <x:v>边际分布</x:v>
      </x:c>
      <x:c r="B9" s="7" t="str">
        <x:v>后置三角</x:v>
      </x:c>
      <x:c r="C9" s="7" t="str">
        <x:v>均匀</x:v>
      </x:c>
      <x:c r="D9" s="24" t="n">
        <x:v>0.23333333333333336</x:v>
      </x:c>
      <x:c r="E9" s="7" t="str">
        <x:v>τ=2、a=15、b=30；独立，分段密度积分</x:v>
      </x:c>
    </x:row>
    <x:row r="10" ht="48" customHeight="1">
      <x:c r="A10" s="7" t="str">
        <x:v>边际分布</x:v>
      </x:c>
      <x:c r="B10" s="7" t="str">
        <x:v>后置三角</x:v>
      </x:c>
      <x:c r="C10" s="7" t="str">
        <x:v>后置三角</x:v>
      </x:c>
      <x:c r="D10" s="24" t="n">
        <x:v>0.3983333333333333</x:v>
      </x:c>
      <x:c r="E10" s="7" t="str">
        <x:v>τ=2、a=15、b=30；独立，分段密度积分</x:v>
      </x:c>
    </x:row>
    <x:row r="11" ht="48" customHeight="1">
      <x:c r="A11" s="7" t="str">
        <x:v>依赖结构</x:v>
      </x:c>
      <x:c r="B11" s="7" t="str">
        <x:v>均匀边际</x:v>
      </x:c>
      <x:c r="C11" s="7" t="str">
        <x:v>同秩耦合：U=15X，V=30X，X服从0—1均匀分布</x:v>
      </x:c>
      <x:c r="D11" s="24" t="n">
        <x:v>0.13333333333333333</x:v>
      </x:c>
      <x:c r="E11" s="7" t="str">
        <x:v>τ=2、T=15；三个示例，不是全部耦合的数学极界</x:v>
      </x:c>
    </x:row>
    <x:row r="12" ht="48" customHeight="1">
      <x:c r="A12" s="7" t="str">
        <x:v>依赖结构</x:v>
      </x:c>
      <x:c r="B12" s="7" t="str">
        <x:v>均匀边际</x:v>
      </x:c>
      <x:c r="C12" s="7" t="str">
        <x:v>独立：U与V相互独立</x:v>
      </x:c>
      <x:c r="D12" s="24" t="n">
        <x:v>0.31666666666666665</x:v>
      </x:c>
      <x:c r="E12" s="7" t="str">
        <x:v>τ=2、T=15；三个示例，不是全部耦合的数学极界</x:v>
      </x:c>
    </x:row>
    <x:row r="13" ht="48" customHeight="1">
      <x:c r="A13" s="7" t="str">
        <x:v>依赖结构</x:v>
      </x:c>
      <x:c r="B13" s="7" t="str">
        <x:v>均匀边际</x:v>
      </x:c>
      <x:c r="C13" s="7" t="str">
        <x:v>反秩耦合：U=15X，V=30(1−X)，X服从0—1均匀分布</x:v>
      </x:c>
      <x:c r="D13" s="24" t="n">
        <x:v>0.37777777777777777</x:v>
      </x:c>
      <x:c r="E13" s="7" t="str">
        <x:v>τ=2、T=15；三个示例，不是全部耦合的数学极界</x:v>
      </x:c>
    </x:row>
    <x:row r="16">
      <x:c r="A16" s="18" t="str">
        <x:v>前置三角密度为2(1−x/L)/L，均匀为1/L，后置三角为2x/L²，x在[0,L]。九组合范围6.83%—62.61%是结构假设敏感性，不是现实发生率范围或置信区间。Python解析分段积分及定义保存在源数据包。</x:v>
      </x:c>
      <x:c r="B16" s="18"/>
      <x:c r="C16" s="18"/>
      <x:c r="D16" s="18"/>
      <x:c r="E16" s="18"/>
    </x:row>
    <x:row r="17">
      <x:c r="A17" s="18"/>
      <x:c r="B17" s="18"/>
      <x:c r="C17" s="18"/>
      <x:c r="D17" s="18"/>
      <x:c r="E17" s="18"/>
    </x:row>
    <x:row r="18">
      <x:c r="A18" s="18"/>
      <x:c r="B18" s="18"/>
      <x:c r="C18" s="18"/>
      <x:c r="D18" s="18"/>
      <x:c r="E18" s="18"/>
    </x:row>
  </x:sheetData>
  <x:mergeCells>
    <x:mergeCell ref="A16:E18"/>
  </x:mergeCells>
  <x:pageMargins left="0.7" right="0.7" top="0.75" bottom="0.75" header="0.3" footer="0.3"/>
  <x:tableParts count="1">
    <x:tablePart xmlns:r="http://schemas.openxmlformats.org/officeDocument/2006/relationships" r:id="R63f65858278448f7"/>
  </x:tableParts>
</x:worksheet>
</file>

<file path=xl/worksheets/sheet15.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0" hidden="0" customWidth="1"/>
    <x:col min="2" max="2" width="60" hidden="0" customWidth="1"/>
    <x:col min="3" max="3" width="24" hidden="0" customWidth="1"/>
    <x:col min="4" max="4" width="16" hidden="0" customWidth="1"/>
    <x:col min="5" max="5" width="60" hidden="0" customWidth="1"/>
    <x:col min="6" max="6" width="72" hidden="0" customWidth="1"/>
    <x:col min="7" max="7" width="65" hidden="0" customWidth="1"/>
    <x:col min="8" max="8" width="90" hidden="0" customWidth="1"/>
  </x:cols>
  <x:sheetData>
    <x:row r="1" ht="32" customHeight="1">
      <x:c r="A1" s="5" t="str">
        <x:v>来源ID</x:v>
      </x:c>
      <x:c r="B1" s="5" t="str">
        <x:v>文件名称</x:v>
      </x:c>
      <x:c r="C1" s="5" t="str">
        <x:v>类型</x:v>
      </x:c>
      <x:c r="D1" s="5" t="str">
        <x:v>关键日期</x:v>
      </x:c>
      <x:c r="E1" s="5" t="str">
        <x:v>状态</x:v>
      </x:c>
      <x:c r="F1" s="5" t="str">
        <x:v>新增依据</x:v>
      </x:c>
      <x:c r="G1" s="5" t="str">
        <x:v>使用边界</x:v>
      </x:c>
      <x:c r="H1" s="5" t="str">
        <x:v>原文URL</x:v>
      </x:c>
    </x:row>
    <x:row r="2" ht="88" customHeight="1">
      <x:c r="A2" s="7" t="str">
        <x:v>P17</x:v>
      </x:c>
      <x:c r="B2" s="7" t="str">
        <x:v>智能网联新能源汽车产业发展“十五五”规划（工信部联规函〔2026〕305号）</x:v>
      </x:c>
      <x:c r="C2" s="7" t="str">
        <x:v>国家产业规划</x:v>
      </x:c>
      <x:c r="D2" s="7" t="str">
        <x:v>2026-09-09</x:v>
      </x:c>
      <x:c r="E2" s="7" t="str">
        <x:v>2026-09-09成文；09-10公开；正式产业规划</x:v>
      </x:c>
      <x:c r="F2" s="7" t="str">
        <x:v>将关键矿产循环利用、数字身份证、碳足迹管理和高价值专利组合等纳入产业任务；正文第2、3、5项及专栏2。</x:v>
      </x:c>
      <x:c r="G2" s="7" t="str">
        <x:v>规划任务不等于全部技术细则已发布或任务已完成。</x:v>
      </x:c>
      <x:c r="H2" s="7" t="str">
        <x:v>https://wap.miit.gov.cn/jgsj/zbys/wjfb/art/2026/art_6136a59a8ff04922b7c73ddbc575434e.html</x:v>
      </x:c>
    </x:row>
    <x:row r="3" ht="88" customHeight="1">
      <x:c r="A3" s="7" t="str">
        <x:v>P18</x:v>
      </x:c>
      <x:c r="B3" s="7" t="str">
        <x:v>动力电池回收利用产业标准体系建设指南（2026版）（征求意见稿）及公示</x:v>
      </x:c>
      <x:c r="C3" s="7" t="str">
        <x:v>标准体系征求意见稿</x:v>
      </x:c>
      <x:c r="D3" s="7" t="str">
        <x:v>2026-09-15</x:v>
      </x:c>
      <x:c r="E3" s="7" t="str">
        <x:v>征求意见时段已过；截至10-20按已核验的征求意见稿使用</x:v>
      </x:c>
      <x:c r="F3" s="7" t="str">
        <x:v>提出基础通用、收集分类、物理处理、化学处理、综合利用产品、绿色低碳六部分；含标识溯源与核算核查。</x:v>
      </x:c>
      <x:c r="G3" s="7" t="str">
        <x:v>仅为征求意见稿；公示正文期限至10-15，栏目元数据列10-14，按正文记录并保留差异；本次未核实正式稿。</x:v>
      </x:c>
      <x:c r="H3" s="7" t="str">
        <x:v>https://www.miit.gov.cn/jgsj/kjs/jscx/bzgf/art/2026/art_4c8055c61f234cff8c100574c1ab709b.html</x:v>
      </x:c>
    </x:row>
    <x:row r="4" ht="88" customHeight="1">
      <x:c r="A4" s="7" t="str">
        <x:v>P19</x:v>
      </x:c>
      <x:c r="B4" s="7" t="str">
        <x:v>北京市关于鼓励废动力电池回收利用企业规范健康发展的若干措施（京发改〔2026〕1572号）</x:v>
      </x:c>
      <x:c r="C4" s="7" t="str">
        <x:v>地方配套措施</x:v>
      </x:c>
      <x:c r="D4" s="7" t="str">
        <x:v>2026-09-18</x:v>
      </x:c>
      <x:c r="E4" s="7" t="str">
        <x:v>原文09-18成文/实施；09-22公开；官网列现行有效</x:v>
      </x:c>
      <x:c r="F4" s="7" t="str">
        <x:v>第3项中试，第7项网点，第11项再生材料认证应用，第14项数据共享，第17项碳足迹方法研究等。</x:v>
      </x:c>
      <x:c r="G4" s="7" t="str">
        <x:v>属北京地方措施；不将条件性支持泛化为全国统一补助；解读写09-20，原文件落款及元数据09-18，本稿按原文。</x:v>
      </x:c>
      <x:c r="H4" s="7" t="str">
        <x:v>https://fgw.beijing.gov.cn/fgwzwgk/2024zcwj/bwqtwj/202609/t20260922_4875565.htm</x:v>
      </x:c>
    </x:row>
    <x:row r="5" ht="88" customHeight="1">
      <x:c r="A5" s="7" t="str">
        <x:v>P20</x:v>
      </x:c>
      <x:c r="B5" s="7" t="str">
        <x:v>关于做好新能源汽车废旧动力电池回收和综合利用常态化监管工作的通知</x:v>
      </x:c>
      <x:c r="C5" s="7" t="str">
        <x:v>地方常态监管通知</x:v>
      </x:c>
      <x:c r="D5" s="7" t="str">
        <x:v>2026-07-28</x:v>
      </x:c>
      <x:c r="E5" s="7" t="str">
        <x:v>07-28落款；07-30公开；地方工作要求</x:v>
      </x:c>
      <x:c r="F5" s="7" t="str">
        <x:v>清单台账、溯源报送、部门移送、定期检查及上年度工作情况报送等常态化安排。</x:v>
      </x:c>
      <x:c r="G5" s="7" t="str">
        <x:v>属于工作部署，不是整改完成率或执法效果统计。</x:v>
      </x:c>
      <x:c r="H5" s="7" t="str">
        <x:v>https://gxt.hunan.gov.cn/gxt/xxgk_71033/tzgg/202607/t20260730_34036435.html</x:v>
      </x:c>
    </x:row>
    <x:row r="6" ht="88" customHeight="1">
      <x:c r="A6" s="7" t="str">
        <x:v>P21</x:v>
      </x:c>
      <x:c r="B6" s="7" t="str">
        <x:v>中华人民共和国生态环境法典</x:v>
      </x:c>
      <x:c r="C6" s="7" t="str">
        <x:v>国家法律</x:v>
      </x:c>
      <x:c r="D6" s="7" t="str">
        <x:v>2026-03-12</x:v>
      </x:c>
      <x:c r="E6" s="7" t="str">
        <x:v>03-12通过公布；08-15施行；司法部平台全文</x:v>
      </x:c>
      <x:c r="F6" s="7" t="str">
        <x:v>第1242条规定2026-08-15施行，并废止原环境保护法、环评法、固废污染环境防治法等十部法律。</x:v>
      </x:c>
      <x:c r="G6" s="7" t="str">
        <x:v>本次用于更新法源时间边界，不据此推断全部下位规则自动失效或追溯适用。</x:v>
      </x:c>
      <x:c r="H6" s="7" t="str">
        <x:v>https://legalinfo.moj.gov.cn/pub/sfbzhfx/zt/2026zt0106/xxxcsthjfd20260817/sthjfd20260817/202608/t20260818_538611.html</x:v>
      </x:c>
    </x:row>
    <x:row r="7" ht="88" customHeight="1">
      <x:c r="A7" s="7" t="str">
        <x:v>P22</x:v>
      </x:c>
      <x:c r="B7" s="7" t="str">
        <x:v>关于开展报废机动车非法回收拆解专项整治行动的通知（商办消费函〔2026〕346号）</x:v>
      </x:c>
      <x:c r="C7" s="7" t="str">
        <x:v>国家专项整治方案</x:v>
      </x:c>
      <x:c r="D7" s="7" t="str">
        <x:v>2026-06-18</x:v>
      </x:c>
      <x:c r="E7" s="7" t="str">
        <x:v>06-18成文；06-24公开；10月处巩固提升阶段</x:v>
      </x:c>
      <x:c r="F7" s="7" t="str">
        <x:v>整治任务包含动力电池违规交售、拒报及虚假溯源；6—10月分阶段，10月为巩固提升，11月底前总结。</x:v>
      </x:c>
      <x:c r="G7" s="7" t="str">
        <x:v>与4—6月动力电池专项行动是不同部署；时点10-20尚不能把总结任务当作已发布成效。</x:v>
      </x:c>
      <x:c r="H7" s="7" t="str">
        <x:v>https://www.mofcom.gov.cn/zwgk/zcfb/art/2026/art_58f3c70ea4bd4ca3a450ba2ca4049efa.html</x:v>
      </x:c>
    </x:row>
    <x:row r="8" ht="88" customHeight="1">
      <x:c r="A8" s="7" t="str">
        <x:v>P23</x:v>
      </x:c>
      <x:c r="B8" s="7" t="str">
        <x:v>关于公开征集报废机动车非法回收拆解违法违规问题线索的公告</x:v>
      </x:c>
      <x:c r="C8" s="7" t="str">
        <x:v>地方执行公告</x:v>
      </x:c>
      <x:c r="D8" s="7" t="str">
        <x:v>2026-10-10</x:v>
      </x:c>
      <x:c r="E8" s="7" t="str">
        <x:v>10-10发布；征集至10-31；10-20仍在公告期</x:v>
      </x:c>
      <x:c r="F8" s="7" t="str">
        <x:v>将新能源汽车动力电池违规外流处置、零部件台账缺失等纳入线索范围，征集至10-31。</x:v>
      </x:c>
      <x:c r="G8" s="7" t="str">
        <x:v>用于说明10月仍有执行安排，公告不是核查属实结果或违法发生率。</x:v>
      </x:c>
      <x:c r="H8" s="7" t="str">
        <x:v>https://www.quannan.gov.cn/qnxrmzfwyyh/c104951/202610/8d845e17284d475399907db731ac0ef0.shtml</x:v>
      </x:c>
    </x:row>
    <x:row r="9" ht="88" customHeight="1">
      <x:c r="A9" s="7" t="str">
        <x:v>P24</x:v>
      </x:c>
      <x:c r="B9" s="7" t="str">
        <x:v>北京市电动自行车废锂电池回收利用管理办法（试行）（京经信发〔2026〕42号）</x:v>
      </x:c>
      <x:c r="C9" s="7" t="str">
        <x:v>地方相关领域规则</x:v>
      </x:c>
      <x:c r="D9" s="7" t="str">
        <x:v>2026-09-10</x:v>
      </x:c>
      <x:c r="E9" s="7" t="str">
        <x:v>正文落款09-10；栏目元数据09-11；页面路径09-14；10-01实施</x:v>
      </x:c>
      <x:c r="F9" s="7" t="str">
        <x:v>第26条规定10-01实施；鼓励与废动力电池集中贮存网点共享共用。</x:v>
      </x:c>
      <x:c r="G9" s="7" t="str">
        <x:v>适用对象为电动自行车废锂电池；网点共用不改变新能源汽车废旧动力电池禁用领域要求。</x:v>
      </x:c>
      <x:c r="H9" s="7" t="str">
        <x:v>https://www.beijing.gov.cn/zhengce/zhengcefagui/202609/t20260914_4862708.html</x:v>
      </x:c>
    </x:row>
    <x:row r="10" ht="88" customHeight="1">
      <x:c r="A10" s="7" t="str">
        <x:v>B03</x:v>
      </x:c>
      <x:c r="B10" s="7" t="str">
        <x:v>一批退役动力电池拍卖交易公告（河南省公共资源交易中心刊载）</x:v>
      </x:c>
      <x:c r="C10" s="7" t="str">
        <x:v>公开交易场景</x:v>
      </x:c>
      <x:c r="D10" s="7" t="str">
        <x:v>2026-10-16</x:v>
      </x:c>
      <x:c r="E10" s="7" t="str">
        <x:v>10-16发布；10-16—25公告期；10-26拟拍卖</x:v>
      </x:c>
      <x:c r="F10" s="7" t="str">
        <x:v>竞买要求含平台注册及成交后编码、流向变更与报送；并列运输、贮存等条件。</x:v>
      </x:c>
      <x:c r="G10" s="7" t="str">
        <x:v>发行人为拍卖公司、标的在哈密，网站刊载不等于全国政策；拍卖定于10-26，10-20尚无成交与履行结果。</x:v>
      </x:c>
      <x:c r="H10" s="7" t="str">
        <x:v>https://hnsggzyjy.henan.gov.cn/jyxx/002003/002003001/20261016/062d6d63-6f08-442c-96b7-b1a7b7ea62c2.html</x:v>
      </x:c>
    </x:row>
  </x:sheetData>
  <x:pageMargins left="0.7" right="0.7" top="0.75" bottom="0.75" header="0.3" footer="0.3"/>
  <x:tableParts count="1">
    <x:tablePart xmlns:r="http://schemas.openxmlformats.org/officeDocument/2006/relationships" r:id="R982ae42afb324085"/>
  </x:tableParts>
</x:worksheet>
</file>

<file path=xl/worksheets/sheet16.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0" hidden="0" customWidth="1"/>
    <x:col min="2" max="2" width="27" hidden="0" customWidth="1"/>
    <x:col min="3" max="3" width="17" hidden="0" customWidth="1"/>
    <x:col min="4" max="4" width="17" hidden="0" customWidth="1"/>
    <x:col min="5" max="5" width="17" hidden="0" customWidth="1"/>
    <x:col min="6" max="6" width="34" hidden="0" customWidth="1"/>
    <x:col min="7" max="7" width="23" hidden="0" customWidth="1"/>
    <x:col min="8" max="8" width="56" hidden="0" customWidth="1"/>
    <x:col min="9" max="9" width="58" hidden="0" customWidth="1"/>
    <x:col min="10" max="10" width="43" hidden="0" customWidth="1"/>
    <x:col min="11" max="11" width="62" hidden="0" customWidth="1"/>
    <x:col min="12" max="12" width="13" hidden="0" customWidth="1"/>
    <x:col min="13" max="13" width="15" hidden="0" customWidth="1"/>
    <x:col min="14" max="14" width="13" hidden="0" customWidth="1"/>
    <x:col min="15" max="15" width="15" hidden="0" customWidth="1"/>
    <x:col min="16" max="16" width="15" hidden="0" customWidth="1"/>
    <x:col min="17" max="17" width="80" hidden="0" customWidth="1"/>
  </x:cols>
  <x:sheetData>
    <x:row r="1" ht="32" customHeight="1">
      <x:c r="A1" s="5" t="str">
        <x:v>资料ID</x:v>
      </x:c>
      <x:c r="B1" s="5" t="str">
        <x:v>公开号</x:v>
      </x:c>
      <x:c r="C1" s="5" t="str">
        <x:v>优先权日</x:v>
      </x:c>
      <x:c r="D1" s="5" t="str">
        <x:v>申请日</x:v>
      </x:c>
      <x:c r="E1" s="5" t="str">
        <x:v>公开日</x:v>
      </x:c>
      <x:c r="F1" s="5" t="str">
        <x:v>技术任务</x:v>
      </x:c>
      <x:c r="G1" s="5" t="str">
        <x:v>选读定位</x:v>
      </x:c>
      <x:c r="H1" s="5" t="str">
        <x:v>披露特征</x:v>
      </x:c>
      <x:c r="I1" s="5" t="str">
        <x:v>技术不足与待验证项</x:v>
      </x:c>
      <x:c r="J1" s="5" t="str">
        <x:v>政策接口</x:v>
      </x:c>
      <x:c r="K1" s="5" t="str">
        <x:v>验证任务</x:v>
      </x:c>
      <x:c r="L1" s="5" t="str">
        <x:v>对象关联</x:v>
      </x:c>
      <x:c r="M1" s="5" t="str">
        <x:v>事件与版本</x:v>
      </x:c>
      <x:c r="N1" s="5" t="str">
        <x:v>受控访问</x:v>
      </x:c>
      <x:c r="O1" s="5" t="str">
        <x:v>元素料占比</x:v>
      </x:c>
      <x:c r="P1" s="5" t="str">
        <x:v>法定期限</x:v>
      </x:c>
      <x:c r="Q1" s="5" t="str">
        <x:v>原文URL</x:v>
      </x:c>
    </x:row>
    <x:row r="2" ht="94" customHeight="1">
      <x:c r="A2" s="7" t="str">
        <x:v>K01</x:v>
      </x:c>
      <x:c r="B2" s="7" t="str">
        <x:v>CN121391285A</x:v>
      </x:c>
      <x:c r="C2" s="7" t="str">
        <x:v>2025-09-05</x:v>
      </x:c>
      <x:c r="D2" s="7" t="str">
        <x:v>2025-09-05</x:v>
      </x:c>
      <x:c r="E2" s="7" t="str">
        <x:v>2026-01-23</x:v>
      </x:c>
      <x:c r="F2" s="7" t="str">
        <x:v>护照版本与字段校验</x:v>
      </x:c>
      <x:c r="G2" s="7" t="str">
        <x:v>1、3、6、7</x:v>
      </x:c>
      <x:c r="H2" s="7" t="str">
        <x:v>唯一标识绑定；模板及版本化维护</x:v>
      </x:c>
      <x:c r="I2" s="7" t="str">
        <x:v>接口、数据真实性及模型参数需验证</x:v>
      </x:c>
      <x:c r="J2" s="7" t="str">
        <x:v>P09第9—12、24条；P17第5项</x:v>
      </x:c>
      <x:c r="K2" s="7" t="str">
        <x:v>多源字段追溯、版本更正、接口及原始凭证核验</x:v>
      </x:c>
      <x:c r="L2" s="7" t="str">
        <x:v>权</x:v>
      </x:c>
      <x:c r="M2" s="7" t="str">
        <x:v>权</x:v>
      </x:c>
      <x:c r="N2" s="7" t="str">
        <x:v>—</x:v>
      </x:c>
      <x:c r="O2" s="7" t="str">
        <x:v>—</x:v>
      </x:c>
      <x:c r="P2" s="7" t="str">
        <x:v>—</x:v>
      </x:c>
      <x:c r="Q2" s="7" t="str">
        <x:v>https://patents.google.com/patent/CN121391285A/zh</x:v>
      </x:c>
    </x:row>
    <x:row r="3" ht="94" customHeight="1">
      <x:c r="A3" s="7" t="str">
        <x:v>K02</x:v>
      </x:c>
      <x:c r="B3" s="7" t="str">
        <x:v>CN121810320A</x:v>
      </x:c>
      <x:c r="C3" s="7" t="str">
        <x:v>2026-03-10</x:v>
      </x:c>
      <x:c r="D3" s="7" t="str">
        <x:v>2026-03-10</x:v>
      </x:c>
      <x:c r="E3" s="7" t="str">
        <x:v>2026-04-07</x:v>
      </x:c>
      <x:c r="F3" s="7" t="str">
        <x:v>电芯—槽位—更换事件</x:v>
      </x:c>
      <x:c r="G3" s="7" t="str">
        <x:v>1、4</x:v>
      </x:c>
      <x:c r="H3" s="7" t="str">
        <x:v>静态身份/动态指针；更换事件保留</x:v>
      </x:c>
      <x:c r="I3" s="7" t="str">
        <x:v>对制造追溯的设计仍需接入回收交付事件</x:v>
      </x:c>
      <x:c r="J3" s="7" t="str">
        <x:v>P09第9—11、20、24条</x:v>
      </x:c>
      <x:c r="K3" s="7" t="str">
        <x:v>拆包、更换、组合对象对应关系及回收交付记录</x:v>
      </x:c>
      <x:c r="L3" s="7" t="str">
        <x:v>权</x:v>
      </x:c>
      <x:c r="M3" s="7" t="str">
        <x:v>权</x:v>
      </x:c>
      <x:c r="N3" s="7" t="str">
        <x:v>—</x:v>
      </x:c>
      <x:c r="O3" s="7" t="str">
        <x:v>—</x:v>
      </x:c>
      <x:c r="P3" s="7" t="str">
        <x:v>—</x:v>
      </x:c>
      <x:c r="Q3" s="7" t="str">
        <x:v>https://patents.google.com/patent/CN121810320A/zh</x:v>
      </x:c>
    </x:row>
    <x:row r="4" ht="94" customHeight="1">
      <x:c r="A4" s="7" t="str">
        <x:v>K03</x:v>
      </x:c>
      <x:c r="B4" s="7" t="str">
        <x:v>CN120077396A</x:v>
      </x:c>
      <x:c r="C4" s="7" t="str">
        <x:v>2023-11-24</x:v>
      </x:c>
      <x:c r="D4" s="7" t="str">
        <x:v>2024-11-24</x:v>
      </x:c>
      <x:c r="E4" s="7" t="str">
        <x:v>2025-05-30</x:v>
      </x:c>
      <x:c r="F4" s="7" t="str">
        <x:v>元素再生料占比核算</x:v>
      </x:c>
      <x:c r="G4" s="7" t="str">
        <x:v>1、5</x:v>
      </x:c>
      <x:c r="H4" s="7" t="str">
        <x:v>来源物料、采集周期及系统边界</x:v>
      </x:c>
      <x:c r="I4" s="7" t="str">
        <x:v>来源凭证、损失分配与交叉审计；不直接生成减碳量</x:v>
      </x:c>
      <x:c r="J4" s="7" t="str">
        <x:v>P19第11、17项；P18核查核算方向</x:v>
      </x:c>
      <x:c r="K4" s="7" t="str">
        <x:v>元素质量平衡、盘存、损失及重复计算核查</x:v>
      </x:c>
      <x:c r="L4" s="7" t="str">
        <x:v>—</x:v>
      </x:c>
      <x:c r="M4" s="7" t="str">
        <x:v>—</x:v>
      </x:c>
      <x:c r="N4" s="7" t="str">
        <x:v>—</x:v>
      </x:c>
      <x:c r="O4" s="7" t="str">
        <x:v>权</x:v>
      </x:c>
      <x:c r="P4" s="7" t="str">
        <x:v>—</x:v>
      </x:c>
      <x:c r="Q4" s="7" t="str">
        <x:v>https://patents.google.com/patent/CN120077396A/zh</x:v>
      </x:c>
    </x:row>
    <x:row r="5" ht="94" customHeight="1">
      <x:c r="A5" s="7" t="str">
        <x:v>K04</x:v>
      </x:c>
      <x:c r="B5" s="7" t="str">
        <x:v>US20250132404A1</x:v>
      </x:c>
      <x:c r="C5" s="7" t="str">
        <x:v>2021-12-21</x:v>
      </x:c>
      <x:c r="D5" s="7" t="str">
        <x:v>2022-12-19</x:v>
      </x:c>
      <x:c r="E5" s="7" t="str">
        <x:v>2025-04-24</x:v>
      </x:c>
      <x:c r="F5" s="7" t="str">
        <x:v>实物标识与受控访问</x:v>
      </x:c>
      <x:c r="G5" s="7" t="str">
        <x:v>1、5、10；说明书图14</x:v>
      </x:c>
      <x:c r="H5" s="7" t="str">
        <x:v>实物标识绑定去中心化标识；授权访问</x:v>
      </x:c>
      <x:c r="I5" s="7" t="str">
        <x:v>跨主体身份映射与本地权限规则需验证</x:v>
      </x:c>
      <x:c r="J5" s="7" t="str">
        <x:v>P09第9—12、25—26条</x:v>
      </x:c>
      <x:c r="K5" s="7" t="str">
        <x:v>标签实物一致性、授权撤销、最小必要查询</x:v>
      </x:c>
      <x:c r="L5" s="7" t="str">
        <x:v>权</x:v>
      </x:c>
      <x:c r="M5" s="7" t="str">
        <x:v>—</x:v>
      </x:c>
      <x:c r="N5" s="7" t="str">
        <x:v>说</x:v>
      </x:c>
      <x:c r="O5" s="7" t="str">
        <x:v>—</x:v>
      </x:c>
      <x:c r="P5" s="7" t="str">
        <x:v>—</x:v>
      </x:c>
      <x:c r="Q5" s="7" t="str">
        <x:v>https://patents.google.com/patent/US20250132404A1/en</x:v>
      </x:c>
    </x:row>
    <x:row r="8">
      <x:c r="A8" t="str">
        <x:v>权：选读权利要求有对应特征；说：选读说明书有对应描述；—：未在选读范围编码。不是完整权利范围或合规评分。</x:v>
      </x:c>
    </x:row>
    <x:row r="10">
      <x:c r="A10" s="18" t="str">
        <x:v>资料ID</x:v>
      </x:c>
      <x:c r="B10" s="18" t="str">
        <x:v>公开号</x:v>
      </x:c>
      <x:c r="C10" s="18" t="str">
        <x:v>任务维度</x:v>
      </x:c>
      <x:c r="D10" s="18" t="str">
        <x:v>披露定位</x:v>
      </x:c>
      <x:c r="E10" s="18" t="str">
        <x:v>具体条款或说明书位置</x:v>
      </x:c>
      <x:c r="F10" s="18" t="str">
        <x:v>案例性质</x:v>
      </x:c>
      <x:c r="G10" s="18" t="str">
        <x:v>使用边界</x:v>
      </x:c>
    </x:row>
    <x:row r="11" ht="42" customHeight="1">
      <x:c r="A11" s="18" t="str">
        <x:v>K01</x:v>
      </x:c>
      <x:c r="B11" s="18" t="str">
        <x:v>CN121391285A</x:v>
      </x:c>
      <x:c r="C11" s="18" t="str">
        <x:v>对象关联</x:v>
      </x:c>
      <x:c r="D11" s="18" t="str">
        <x:v>权</x:v>
      </x:c>
      <x:c r="E11" s="18" t="str">
        <x:v>权利要求1、3</x:v>
      </x:c>
      <x:c r="F11" s="18" t="str">
        <x:v>目的性选读</x:v>
      </x:c>
      <x:c r="G11" s="18" t="str">
        <x:v>不表示完整专利版图或技术效果</x:v>
      </x:c>
    </x:row>
    <x:row r="12" ht="42" customHeight="1">
      <x:c r="A12" s="18" t="str">
        <x:v>K01</x:v>
      </x:c>
      <x:c r="B12" s="18" t="str">
        <x:v>CN121391285A</x:v>
      </x:c>
      <x:c r="C12" s="18" t="str">
        <x:v>事件与版本</x:v>
      </x:c>
      <x:c r="D12" s="18" t="str">
        <x:v>权</x:v>
      </x:c>
      <x:c r="E12" s="18" t="str">
        <x:v>权利要求1、6、7</x:v>
      </x:c>
      <x:c r="F12" s="18" t="str">
        <x:v>目的性选读</x:v>
      </x:c>
      <x:c r="G12" s="18" t="str">
        <x:v>不表示完整专利版图或技术效果</x:v>
      </x:c>
    </x:row>
    <x:row r="13" ht="42" customHeight="1">
      <x:c r="A13" s="18" t="str">
        <x:v>K01</x:v>
      </x:c>
      <x:c r="B13" s="18" t="str">
        <x:v>CN121391285A</x:v>
      </x:c>
      <x:c r="C13" s="18" t="str">
        <x:v>受控访问</x:v>
      </x:c>
      <x:c r="D13" s="18" t="str">
        <x:v>—</x:v>
      </x:c>
      <x:c r="E13" s="18" t="str">
        <x:v>未在选读范围编码</x:v>
      </x:c>
      <x:c r="F13" s="18" t="str">
        <x:v>目的性选读</x:v>
      </x:c>
      <x:c r="G13" s="18" t="str">
        <x:v>不表示完整专利版图或技术效果</x:v>
      </x:c>
    </x:row>
    <x:row r="14" ht="42" customHeight="1">
      <x:c r="A14" s="18" t="str">
        <x:v>K01</x:v>
      </x:c>
      <x:c r="B14" s="18" t="str">
        <x:v>CN121391285A</x:v>
      </x:c>
      <x:c r="C14" s="18" t="str">
        <x:v>元素料占比</x:v>
      </x:c>
      <x:c r="D14" s="18" t="str">
        <x:v>—</x:v>
      </x:c>
      <x:c r="E14" s="18" t="str">
        <x:v>未在选读范围编码</x:v>
      </x:c>
      <x:c r="F14" s="18" t="str">
        <x:v>目的性选读</x:v>
      </x:c>
      <x:c r="G14" s="18" t="str">
        <x:v>不表示完整专利版图或技术效果</x:v>
      </x:c>
    </x:row>
    <x:row r="15" ht="42" customHeight="1">
      <x:c r="A15" s="18" t="str">
        <x:v>K01</x:v>
      </x:c>
      <x:c r="B15" s="18" t="str">
        <x:v>CN121391285A</x:v>
      </x:c>
      <x:c r="C15" s="18" t="str">
        <x:v>法定期限</x:v>
      </x:c>
      <x:c r="D15" s="18" t="str">
        <x:v>—</x:v>
      </x:c>
      <x:c r="E15" s="18" t="str">
        <x:v>未在选读范围编码</x:v>
      </x:c>
      <x:c r="F15" s="18" t="str">
        <x:v>目的性选读</x:v>
      </x:c>
      <x:c r="G15" s="18" t="str">
        <x:v>不表示完整专利版图或技术效果</x:v>
      </x:c>
    </x:row>
    <x:row r="16" ht="42" customHeight="1">
      <x:c r="A16" s="18" t="str">
        <x:v>K02</x:v>
      </x:c>
      <x:c r="B16" s="18" t="str">
        <x:v>CN121810320A</x:v>
      </x:c>
      <x:c r="C16" s="18" t="str">
        <x:v>对象关联</x:v>
      </x:c>
      <x:c r="D16" s="18" t="str">
        <x:v>权</x:v>
      </x:c>
      <x:c r="E16" s="18" t="str">
        <x:v>权利要求1</x:v>
      </x:c>
      <x:c r="F16" s="18" t="str">
        <x:v>目的性选读</x:v>
      </x:c>
      <x:c r="G16" s="18" t="str">
        <x:v>不表示完整专利版图或技术效果</x:v>
      </x:c>
    </x:row>
    <x:row r="17" ht="42" customHeight="1">
      <x:c r="A17" s="18" t="str">
        <x:v>K02</x:v>
      </x:c>
      <x:c r="B17" s="18" t="str">
        <x:v>CN121810320A</x:v>
      </x:c>
      <x:c r="C17" s="18" t="str">
        <x:v>事件与版本</x:v>
      </x:c>
      <x:c r="D17" s="18" t="str">
        <x:v>权</x:v>
      </x:c>
      <x:c r="E17" s="18" t="str">
        <x:v>权利要求4</x:v>
      </x:c>
      <x:c r="F17" s="18" t="str">
        <x:v>目的性选读</x:v>
      </x:c>
      <x:c r="G17" s="18" t="str">
        <x:v>不表示完整专利版图或技术效果</x:v>
      </x:c>
    </x:row>
    <x:row r="18" ht="42" customHeight="1">
      <x:c r="A18" s="18" t="str">
        <x:v>K02</x:v>
      </x:c>
      <x:c r="B18" s="18" t="str">
        <x:v>CN121810320A</x:v>
      </x:c>
      <x:c r="C18" s="18" t="str">
        <x:v>受控访问</x:v>
      </x:c>
      <x:c r="D18" s="18" t="str">
        <x:v>—</x:v>
      </x:c>
      <x:c r="E18" s="18" t="str">
        <x:v>未在选读范围编码</x:v>
      </x:c>
      <x:c r="F18" s="18" t="str">
        <x:v>目的性选读</x:v>
      </x:c>
      <x:c r="G18" s="18" t="str">
        <x:v>不表示完整专利版图或技术效果</x:v>
      </x:c>
    </x:row>
    <x:row r="19" ht="42" customHeight="1">
      <x:c r="A19" s="18" t="str">
        <x:v>K02</x:v>
      </x:c>
      <x:c r="B19" s="18" t="str">
        <x:v>CN121810320A</x:v>
      </x:c>
      <x:c r="C19" s="18" t="str">
        <x:v>元素料占比</x:v>
      </x:c>
      <x:c r="D19" s="18" t="str">
        <x:v>—</x:v>
      </x:c>
      <x:c r="E19" s="18" t="str">
        <x:v>未在选读范围编码</x:v>
      </x:c>
      <x:c r="F19" s="18" t="str">
        <x:v>目的性选读</x:v>
      </x:c>
      <x:c r="G19" s="18" t="str">
        <x:v>不表示完整专利版图或技术效果</x:v>
      </x:c>
    </x:row>
    <x:row r="20" ht="42" customHeight="1">
      <x:c r="A20" s="18" t="str">
        <x:v>K02</x:v>
      </x:c>
      <x:c r="B20" s="18" t="str">
        <x:v>CN121810320A</x:v>
      </x:c>
      <x:c r="C20" s="18" t="str">
        <x:v>法定期限</x:v>
      </x:c>
      <x:c r="D20" s="18" t="str">
        <x:v>—</x:v>
      </x:c>
      <x:c r="E20" s="18" t="str">
        <x:v>未在选读范围编码</x:v>
      </x:c>
      <x:c r="F20" s="18" t="str">
        <x:v>目的性选读</x:v>
      </x:c>
      <x:c r="G20" s="18" t="str">
        <x:v>不表示完整专利版图或技术效果</x:v>
      </x:c>
    </x:row>
    <x:row r="21" ht="42" customHeight="1">
      <x:c r="A21" s="18" t="str">
        <x:v>K03</x:v>
      </x:c>
      <x:c r="B21" s="18" t="str">
        <x:v>CN120077396A</x:v>
      </x:c>
      <x:c r="C21" s="18" t="str">
        <x:v>对象关联</x:v>
      </x:c>
      <x:c r="D21" s="18" t="str">
        <x:v>—</x:v>
      </x:c>
      <x:c r="E21" s="18" t="str">
        <x:v>未在选读范围编码</x:v>
      </x:c>
      <x:c r="F21" s="18" t="str">
        <x:v>目的性选读</x:v>
      </x:c>
      <x:c r="G21" s="18" t="str">
        <x:v>不表示完整专利版图或技术效果</x:v>
      </x:c>
    </x:row>
    <x:row r="22" ht="42" customHeight="1">
      <x:c r="A22" s="18" t="str">
        <x:v>K03</x:v>
      </x:c>
      <x:c r="B22" s="18" t="str">
        <x:v>CN120077396A</x:v>
      </x:c>
      <x:c r="C22" s="18" t="str">
        <x:v>事件与版本</x:v>
      </x:c>
      <x:c r="D22" s="18" t="str">
        <x:v>—</x:v>
      </x:c>
      <x:c r="E22" s="18" t="str">
        <x:v>未在选读范围编码</x:v>
      </x:c>
      <x:c r="F22" s="18" t="str">
        <x:v>目的性选读</x:v>
      </x:c>
      <x:c r="G22" s="18" t="str">
        <x:v>不表示完整专利版图或技术效果</x:v>
      </x:c>
    </x:row>
    <x:row r="23" ht="42" customHeight="1">
      <x:c r="A23" s="18" t="str">
        <x:v>K03</x:v>
      </x:c>
      <x:c r="B23" s="18" t="str">
        <x:v>CN120077396A</x:v>
      </x:c>
      <x:c r="C23" s="18" t="str">
        <x:v>受控访问</x:v>
      </x:c>
      <x:c r="D23" s="18" t="str">
        <x:v>—</x:v>
      </x:c>
      <x:c r="E23" s="18" t="str">
        <x:v>未在选读范围编码</x:v>
      </x:c>
      <x:c r="F23" s="18" t="str">
        <x:v>目的性选读</x:v>
      </x:c>
      <x:c r="G23" s="18" t="str">
        <x:v>不表示完整专利版图或技术效果</x:v>
      </x:c>
    </x:row>
    <x:row r="24" ht="42" customHeight="1">
      <x:c r="A24" s="18" t="str">
        <x:v>K03</x:v>
      </x:c>
      <x:c r="B24" s="18" t="str">
        <x:v>CN120077396A</x:v>
      </x:c>
      <x:c r="C24" s="18" t="str">
        <x:v>元素料占比</x:v>
      </x:c>
      <x:c r="D24" s="18" t="str">
        <x:v>权</x:v>
      </x:c>
      <x:c r="E24" s="18" t="str">
        <x:v>权利要求1、5</x:v>
      </x:c>
      <x:c r="F24" s="18" t="str">
        <x:v>目的性选读</x:v>
      </x:c>
      <x:c r="G24" s="18" t="str">
        <x:v>不表示完整专利版图或技术效果</x:v>
      </x:c>
    </x:row>
    <x:row r="25" ht="42" customHeight="1">
      <x:c r="A25" s="18" t="str">
        <x:v>K03</x:v>
      </x:c>
      <x:c r="B25" s="18" t="str">
        <x:v>CN120077396A</x:v>
      </x:c>
      <x:c r="C25" s="18" t="str">
        <x:v>法定期限</x:v>
      </x:c>
      <x:c r="D25" s="18" t="str">
        <x:v>—</x:v>
      </x:c>
      <x:c r="E25" s="18" t="str">
        <x:v>未在选读范围编码</x:v>
      </x:c>
      <x:c r="F25" s="18" t="str">
        <x:v>目的性选读</x:v>
      </x:c>
      <x:c r="G25" s="18" t="str">
        <x:v>不表示完整专利版图或技术效果</x:v>
      </x:c>
    </x:row>
    <x:row r="26" ht="42" customHeight="1">
      <x:c r="A26" s="18" t="str">
        <x:v>K04</x:v>
      </x:c>
      <x:c r="B26" s="18" t="str">
        <x:v>US20250132404A1</x:v>
      </x:c>
      <x:c r="C26" s="18" t="str">
        <x:v>对象关联</x:v>
      </x:c>
      <x:c r="D26" s="18" t="str">
        <x:v>权</x:v>
      </x:c>
      <x:c r="E26" s="18" t="str">
        <x:v>权利要求1、5、10</x:v>
      </x:c>
      <x:c r="F26" s="18" t="str">
        <x:v>目的性选读</x:v>
      </x:c>
      <x:c r="G26" s="18" t="str">
        <x:v>不表示完整专利版图或技术效果</x:v>
      </x:c>
    </x:row>
    <x:row r="27" ht="42" customHeight="1">
      <x:c r="A27" s="18" t="str">
        <x:v>K04</x:v>
      </x:c>
      <x:c r="B27" s="18" t="str">
        <x:v>US20250132404A1</x:v>
      </x:c>
      <x:c r="C27" s="18" t="str">
        <x:v>事件与版本</x:v>
      </x:c>
      <x:c r="D27" s="18" t="str">
        <x:v>—</x:v>
      </x:c>
      <x:c r="E27" s="18" t="str">
        <x:v>未在选读范围编码</x:v>
      </x:c>
      <x:c r="F27" s="18" t="str">
        <x:v>目的性选读</x:v>
      </x:c>
      <x:c r="G27" s="18" t="str">
        <x:v>不表示完整专利版图或技术效果</x:v>
      </x:c>
    </x:row>
    <x:row r="28" ht="42" customHeight="1">
      <x:c r="A28" s="18" t="str">
        <x:v>K04</x:v>
      </x:c>
      <x:c r="B28" s="18" t="str">
        <x:v>US20250132404A1</x:v>
      </x:c>
      <x:c r="C28" s="18" t="str">
        <x:v>受控访问</x:v>
      </x:c>
      <x:c r="D28" s="18" t="str">
        <x:v>说</x:v>
      </x:c>
      <x:c r="E28" s="18" t="str">
        <x:v>说明书图14授权访问段</x:v>
      </x:c>
      <x:c r="F28" s="18" t="str">
        <x:v>目的性选读</x:v>
      </x:c>
      <x:c r="G28" s="18" t="str">
        <x:v>不表示完整专利版图或技术效果</x:v>
      </x:c>
    </x:row>
    <x:row r="29" ht="42" customHeight="1">
      <x:c r="A29" s="18" t="str">
        <x:v>K04</x:v>
      </x:c>
      <x:c r="B29" s="18" t="str">
        <x:v>US20250132404A1</x:v>
      </x:c>
      <x:c r="C29" s="18" t="str">
        <x:v>元素料占比</x:v>
      </x:c>
      <x:c r="D29" s="18" t="str">
        <x:v>—</x:v>
      </x:c>
      <x:c r="E29" s="18" t="str">
        <x:v>未在选读范围编码</x:v>
      </x:c>
      <x:c r="F29" s="18" t="str">
        <x:v>目的性选读</x:v>
      </x:c>
      <x:c r="G29" s="18" t="str">
        <x:v>不表示完整专利版图或技术效果</x:v>
      </x:c>
    </x:row>
    <x:row r="30" ht="42" customHeight="1">
      <x:c r="A30" s="18" t="str">
        <x:v>K04</x:v>
      </x:c>
      <x:c r="B30" s="18" t="str">
        <x:v>US20250132404A1</x:v>
      </x:c>
      <x:c r="C30" s="18" t="str">
        <x:v>法定期限</x:v>
      </x:c>
      <x:c r="D30" s="18" t="str">
        <x:v>—</x:v>
      </x:c>
      <x:c r="E30" s="18" t="str">
        <x:v>未在选读范围编码</x:v>
      </x:c>
      <x:c r="F30" s="18" t="str">
        <x:v>目的性选读</x:v>
      </x:c>
      <x:c r="G30" s="18" t="str">
        <x:v>不表示完整专利版图或技术效果</x:v>
      </x:c>
    </x:row>
  </x:sheetData>
  <x:pageMargins left="0.7" right="0.7" top="0.75" bottom="0.75" header="0.3" footer="0.3"/>
  <x:tableParts count="1">
    <x:tablePart xmlns:r="http://schemas.openxmlformats.org/officeDocument/2006/relationships" r:id="R49e2bec767314972"/>
  </x:tableParts>
</x:worksheet>
</file>

<file path=xl/worksheets/sheet17.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8" hidden="0" customWidth="1"/>
    <x:col min="2" max="2" width="18" hidden="0" customWidth="1"/>
    <x:col min="3" max="3" width="66" hidden="0" customWidth="1"/>
    <x:col min="4" max="4" width="47" hidden="0" customWidth="1"/>
    <x:col min="5" max="5" width="66" hidden="0" customWidth="1"/>
  </x:cols>
  <x:sheetData>
    <x:row r="1" ht="32" customHeight="1">
      <x:c r="A1" s="5" t="str">
        <x:v>论证阶段</x:v>
      </x:c>
      <x:c r="B1" s="5" t="str">
        <x:v>章节</x:v>
      </x:c>
      <x:c r="C1" s="5" t="str">
        <x:v>逻辑推进</x:v>
      </x:c>
      <x:c r="D1" s="5" t="str">
        <x:v>主要证据</x:v>
      </x:c>
      <x:c r="E1" s="5" t="str">
        <x:v>需要排除的推断</x:v>
      </x:c>
    </x:row>
    <x:row r="2" ht="64" customHeight="1">
      <x:c r="A2" s="7" t="str">
        <x:v>问题与现实意义</x:v>
      </x:c>
      <x:c r="B2" s="7" t="str">
        <x:v>1.1—1.3</x:v>
      </x:c>
      <x:c r="C2" s="7" t="str">
        <x:v>产业背景→研究问题→公开资料方法</x:v>
      </x:c>
      <x:c r="D2" s="7" t="str">
        <x:v>图3及P09</x:v>
      </x:c>
      <x:c r="E2" s="7" t="str">
        <x:v>销量不换算退役量</x:v>
      </x:c>
    </x:row>
    <x:row r="3" ht="64" customHeight="1">
      <x:c r="A3" s="7" t="str">
        <x:v>前人工作与不足</x:v>
      </x:c>
      <x:c r="B3" s="7" t="str">
        <x:v>2.1—2.6</x:v>
      </x:c>
      <x:c r="C3" s="7" t="str">
        <x:v>技术/政策/行为/数字研究→贡献与边界→本文回应</x:v>
      </x:c>
      <x:c r="D3" s="7" t="str">
        <x:v>22项研究评述；表1</x:v>
      </x:c>
      <x:c r="E3" s="7" t="str">
        <x:v>预印本与同行评审资料分开</x:v>
      </x:c>
    </x:row>
    <x:row r="4" ht="64" customHeight="1">
      <x:c r="A4" s="7" t="str">
        <x:v>历史演进与最新政策</x:v>
      </x:c>
      <x:c r="B4" s="7" t="str">
        <x:v>3.1—3.4</x:v>
      </x:c>
      <x:c r="C4" s="7" t="str">
        <x:v>2018起点→2026变化→截至10-20的最新安排→事件框架</x:v>
      </x:c>
      <x:c r="D4" s="7" t="str">
        <x:v>表2；政策更新</x:v>
      </x:c>
      <x:c r="E4" s="7" t="str">
        <x:v>国家、地方、草案和案例分别定性</x:v>
      </x:c>
    </x:row>
    <x:row r="5" ht="64" customHeight="1">
      <x:c r="A5" s="7" t="str">
        <x:v>分析与定量解释</x:v>
      </x:c>
      <x:c r="B5" s="7" t="str">
        <x:v>4.1—4.4</x:v>
      </x:c>
      <x:c r="C5" s="7" t="str">
        <x:v>责任→信息→时滞→专利→标准约束→资源与环境</x:v>
      </x:c>
      <x:c r="D5" s="7" t="str">
        <x:v>图7—17；表3—8；式1—11</x:v>
      </x:c>
      <x:c r="E5" s="7" t="str">
        <x:v>情景参数及规则期限不代表实测政策效果</x:v>
      </x:c>
    </x:row>
    <x:row r="6" ht="64" customHeight="1">
      <x:c r="A6" s="7" t="str">
        <x:v>建议与实施</x:v>
      </x:c>
      <x:c r="B6" s="7" t="str">
        <x:v>5.1—5.6</x:v>
      </x:c>
      <x:c r="C6" s="7" t="str">
        <x:v>交接、服务、指标、分层实施、时间核查、技术验证</x:v>
      </x:c>
      <x:c r="D6" s="7" t="str">
        <x:v>表9；标准与专利</x:v>
      </x:c>
      <x:c r="E6" s="7" t="str">
        <x:v>每项建议有前文问题与依据</x:v>
      </x:c>
    </x:row>
    <x:row r="7" ht="64" customHeight="1">
      <x:c r="A7" s="7" t="str">
        <x:v>结论与展望</x:v>
      </x:c>
      <x:c r="B7" s="7" t="str">
        <x:v>6.1—6.2</x:v>
      </x:c>
      <x:c r="C7" s="7" t="str">
        <x:v>主要发现→局限→可执行研究方向</x:v>
      </x:c>
      <x:c r="D7" s="7" t="str">
        <x:v>研究展望</x:v>
      </x:c>
      <x:c r="E7" s="7" t="str">
        <x:v>不编造问卷、参与或实际效果</x:v>
      </x:c>
    </x:row>
  </x:sheetData>
  <x:pageMargins left="0.7" right="0.7" top="0.75" bottom="0.75" header="0.3" footer="0.3"/>
  <x:tableParts count="1">
    <x:tablePart xmlns:r="http://schemas.openxmlformats.org/officeDocument/2006/relationships" r:id="R8feb63e894fb4f19"/>
  </x:tableParts>
</x:worksheet>
</file>

<file path=xl/worksheets/sheet18.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0" hidden="0" customWidth="1"/>
    <x:col min="2" max="2" width="28" hidden="0" customWidth="1"/>
    <x:col min="3" max="3" width="51" hidden="0" customWidth="1"/>
    <x:col min="4" max="4" width="30" hidden="0" customWidth="1"/>
    <x:col min="5" max="5" width="17" hidden="0" customWidth="1"/>
    <x:col min="6" max="6" width="17" hidden="0" customWidth="1"/>
    <x:col min="7" max="7" width="74" hidden="0" customWidth="1"/>
    <x:col min="8" max="8" width="57" hidden="0" customWidth="1"/>
    <x:col min="9" max="9" width="78" hidden="0" customWidth="1"/>
    <x:col min="10" max="10" width="98" hidden="0" customWidth="1"/>
  </x:cols>
  <x:sheetData>
    <x:row r="1" ht="32" customHeight="1">
      <x:c r="A1" s="5" t="str">
        <x:v>资料ID</x:v>
      </x:c>
      <x:c r="B1" s="5" t="str">
        <x:v>标准编号</x:v>
      </x:c>
      <x:c r="C1" s="5" t="str">
        <x:v>标准名称</x:v>
      </x:c>
      <x:c r="D1" s="5" t="str">
        <x:v>类型及地域</x:v>
      </x:c>
      <x:c r="E1" s="5" t="str">
        <x:v>发布日期</x:v>
      </x:c>
      <x:c r="F1" s="5" t="str">
        <x:v>实施日期</x:v>
      </x:c>
      <x:c r="G1" s="5" t="str">
        <x:v>可核验要求与模型接口</x:v>
      </x:c>
      <x:c r="H1" s="5" t="str">
        <x:v>核验层级</x:v>
      </x:c>
      <x:c r="I1" s="5" t="str">
        <x:v>适用与建模边界</x:v>
      </x:c>
      <x:c r="J1" s="5" t="str">
        <x:v>完整原文网址</x:v>
      </x:c>
    </x:row>
    <x:row r="2" ht="80" customHeight="1">
      <x:c r="A2" s="7" t="str">
        <x:v>S05</x:v>
      </x:c>
      <x:c r="B2" s="7" t="str">
        <x:v>GB/T 44132—2024</x:v>
      </x:c>
      <x:c r="C2" s="7" t="str">
        <x:v>车用动力电池回收利用 通用要求</x:v>
      </x:c>
      <x:c r="D2" s="7" t="str">
        <x:v>国家推荐性标准</x:v>
      </x:c>
      <x:c r="E2" s="7" t="str">
        <x:v>2024-05-28</x:v>
      </x:c>
      <x:c r="F2" s="7" t="str">
        <x:v>2024-05-28</x:v>
      </x:c>
      <x:c r="G2" s="7" t="str">
        <x:v>回收全流程及引用体系</x:v>
      </x:c>
      <x:c r="H2" s="7" t="str">
        <x:v>官方题录及标准化发布会核验；未取得可复制全文</x:v>
      </x:c>
      <x:c r="I2" s="7" t="str">
        <x:v>用于建立全流程框架，不补写未核验条号或阈值</x:v>
      </x:c>
      <x:c r="J2" s="7" t="str">
        <x:v>https://openstd.samr.gov.cn/bzgk/std/newGbInfo?hcno=6F9711A3265EBF03FE3C3441D0FE27C0</x:v>
      </x:c>
    </x:row>
    <x:row r="3" ht="80" customHeight="1">
      <x:c r="A3" s="7" t="str">
        <x:v>S06</x:v>
      </x:c>
      <x:c r="B3" s="7" t="str">
        <x:v>GB/T 38698.1—2020</x:v>
      </x:c>
      <x:c r="C3" s="7" t="str">
        <x:v>车用动力电池回收利用 管理规范 第1部分 包装运输</x:v>
      </x:c>
      <x:c r="D3" s="7" t="str">
        <x:v>国家推荐性标准</x:v>
      </x:c>
      <x:c r="E3" s="7" t="str">
        <x:v>2020-03-31</x:v>
      </x:c>
      <x:c r="F3" s="7" t="str">
        <x:v>2020-10-01</x:v>
      </x:c>
      <x:c r="G3" s="7" t="str">
        <x:v>包装运输；上海标准第5章明确引用其A/B/C分类</x:v>
      </x:c>
      <x:c r="H3" s="7" t="str">
        <x:v>官方题录与地方标准引用条款核验</x:v>
      </x:c>
      <x:c r="I3" s="7" t="str">
        <x:v>不以江苏分选标准同名字母类别替代运输分类</x:v>
      </x:c>
      <x:c r="J3" s="7" t="str">
        <x:v>https://openstd.samr.gov.cn/bzgk/std/newGbInfo?hcno=2667076EE97872E731E7985FECF4C3C7</x:v>
      </x:c>
    </x:row>
    <x:row r="4" ht="80" customHeight="1">
      <x:c r="A4" s="7" t="str">
        <x:v>S07</x:v>
      </x:c>
      <x:c r="B4" s="7" t="str">
        <x:v>GB/T 34014—2017</x:v>
      </x:c>
      <x:c r="C4" s="7" t="str">
        <x:v>汽车动力蓄电池编码规则</x:v>
      </x:c>
      <x:c r="D4" s="7" t="str">
        <x:v>国家推荐性标准</x:v>
      </x:c>
      <x:c r="E4" s="7" t="str">
        <x:v>2017-07-12</x:v>
      </x:c>
      <x:c r="F4" s="7" t="str">
        <x:v>2018-02-01</x:v>
      </x:c>
      <x:c r="G4" s="7" t="str">
        <x:v>编码及跨主体对象关联</x:v>
      </x:c>
      <x:c r="H4" s="7" t="str">
        <x:v>官方题录；页面注明第1号修改单，须连同修改单使用</x:v>
      </x:c>
      <x:c r="I4" s="7" t="str">
        <x:v>用于身份连接，不编造编码字段长度和校验位规则</x:v>
      </x:c>
      <x:c r="J4" s="7" t="str">
        <x:v>https://openstd.samr.gov.cn/bzgk/std/newGbInfo?hcno=60E981B01DE41613119F9C788AE3EAE4</x:v>
      </x:c>
    </x:row>
    <x:row r="5" ht="80" customHeight="1">
      <x:c r="A5" s="7" t="str">
        <x:v>S08</x:v>
      </x:c>
      <x:c r="B5" s="7" t="str">
        <x:v>GB/T 33598.2—2020</x:v>
      </x:c>
      <x:c r="C5" s="7" t="str">
        <x:v>车用动力电池回收利用 再生利用 第2部分 材料回收要求</x:v>
      </x:c>
      <x:c r="D5" s="7" t="str">
        <x:v>国家推荐性标准</x:v>
      </x:c>
      <x:c r="E5" s="7" t="str">
        <x:v>2020-03-31</x:v>
      </x:c>
      <x:c r="F5" s="7" t="str">
        <x:v>2020-10-01</x:v>
      </x:c>
      <x:c r="G5" s="7" t="str">
        <x:v>镍钴锰综合回收率≥98%；锂回收率≥85%</x:v>
      </x:c>
      <x:c r="H5" s="7" t="str">
        <x:v>官方题录与市场监管总局2025-10-17发布会原文核验</x:v>
      </x:c>
      <x:c r="I5" s="7" t="str">
        <x:v>阈值按处理环节分母；98%为镍钴锰综合口径，不是每种电池总质量回收率</x:v>
      </x:c>
      <x:c r="J5" s="7" t="str">
        <x:v>https://openstd.samr.gov.cn/bzgk/std/newGbInfo?hcno=97908F7AAA375BDA99C57E9AC946B0C3</x:v>
      </x:c>
    </x:row>
    <x:row r="6" ht="80" customHeight="1">
      <x:c r="A6" s="7" t="str">
        <x:v>S09</x:v>
      </x:c>
      <x:c r="B6" s="7" t="str">
        <x:v>GB/T 47393—2026</x:v>
      </x:c>
      <x:c r="C6" s="7" t="str">
        <x:v>废弃锂电池化学品定向循环利用技术指南</x:v>
      </x:c>
      <x:c r="D6" s="7" t="str">
        <x:v>国家推荐性标准</x:v>
      </x:c>
      <x:c r="E6" s="7" t="str">
        <x:v>2026-03-31</x:v>
      </x:c>
      <x:c r="F6" s="7" t="str">
        <x:v>2026-10-01</x:v>
      </x:c>
      <x:c r="G6" s="7" t="str">
        <x:v>最新定向循环技术指南，10月1日已实施</x:v>
      </x:c>
      <x:c r="H6" s="7" t="str">
        <x:v>官方题录与2026第15号公告核验；未获得全文</x:v>
      </x:c>
      <x:c r="I6" s="7" t="str">
        <x:v>纳入最新标准衔接，不将题名或专利RMS等同指南认可技术</x:v>
      </x:c>
      <x:c r="J6" s="7" t="str">
        <x:v>https://openstd.samr.gov.cn/bzgk/std/newGbInfo?hcno=DEF701318D7F8E6E2E8DB6B62390E834</x:v>
      </x:c>
    </x:row>
    <x:row r="7" ht="80" customHeight="1">
      <x:c r="A7" s="7" t="str">
        <x:v>S10</x:v>
      </x:c>
      <x:c r="B7" s="7" t="str">
        <x:v>DB31/T 1556—2025</x:v>
      </x:c>
      <x:c r="C7" s="7" t="str">
        <x:v>电动汽车废旧动力电池收集型回收服务网点技术要求</x:v>
      </x:c>
      <x:c r="D7" s="7" t="str">
        <x:v>上海推荐性地方标准</x:v>
      </x:c>
      <x:c r="E7" s="7" t="str">
        <x:v>2025-03-26</x:v>
      </x:c>
      <x:c r="F7" s="7" t="str">
        <x:v>2025-07-01</x:v>
      </x:c>
      <x:c r="G7" s="7" t="str">
        <x:v>第6章：A类≤20天；B/C类≤5天；第5章记录≥3年</x:v>
      </x:c>
      <x:c r="H7" s="7" t="str">
        <x:v>官方8页全文；第5—7章及适用范围核验</x:v>
      </x:c>
      <x:c r="I7" s="7" t="str">
        <x:v>适用于上海收集型网点；不适用于集中贮存型，时限不外推全国</x:v>
      </x:c>
      <x:c r="J7" s="7" t="str">
        <x:v>https://dbba.sacinfo.org.cn/portal/download/9654370ff159be94d8944bc00b4e1a79dbc8f9e011e32ee0e00c6d2e02ade63a</x:v>
      </x:c>
    </x:row>
    <x:row r="8" ht="80" customHeight="1">
      <x:c r="A8" s="7" t="str">
        <x:v>S11</x:v>
      </x:c>
      <x:c r="B8" s="7" t="str">
        <x:v>DB32/T 4941—2024</x:v>
      </x:c>
      <x:c r="C8" s="7" t="str">
        <x:v>电动汽车用退役动力电池分选技术规程</x:v>
      </x:c>
      <x:c r="D8" s="7" t="str">
        <x:v>江苏推荐性地方标准</x:v>
      </x:c>
      <x:c r="E8" s="7" t="str">
        <x:v>2024-12-16</x:v>
      </x:c>
      <x:c r="F8" s="7" t="str">
        <x:v>2025-01-16</x:v>
      </x:c>
      <x:c r="G8" s="7" t="str">
        <x:v>6.7.1.2：特定类别剩余容量比&lt;50%或额定容量不可追溯时转再生；6.7.1.1另含直接再生条件</x:v>
      </x:c>
      <x:c r="H8" s="7" t="str">
        <x:v>官方17页全文；范围、5章及6.7核验</x:v>
      </x:c>
      <x:c r="I8" s="7" t="str">
        <x:v>字母分类与包装运输分类不是同一概念；≥50%不自动等于可再利用，现行用途须核对2026政策</x:v>
      </x:c>
      <x:c r="J8" s="7" t="str">
        <x:v>https://dbba.sacinfo.org.cn/portal/download/12c070065c59095971b84af4ee9b20fba0b76a25d6355f3b062aa69e3eb2e047</x:v>
      </x:c>
    </x:row>
    <x:row r="9" ht="80" customHeight="1">
      <x:c r="A9" s="7" t="str">
        <x:v>S12</x:v>
      </x:c>
      <x:c r="B9" s="7" t="str">
        <x:v>DB43/T 3437—2025</x:v>
      </x:c>
      <x:c r="C9" s="7" t="str">
        <x:v>车用动力锂电池回收利用企业碳核算技术规范</x:v>
      </x:c>
      <x:c r="D9" s="7" t="str">
        <x:v>湖南推荐性地方标准</x:v>
      </x:c>
      <x:c r="E9" s="7" t="str">
        <x:v>2025-12-15</x:v>
      </x:c>
      <x:c r="F9" s="7" t="str">
        <x:v>2026-03-15</x:v>
      </x:c>
      <x:c r="G9" s="7" t="str">
        <x:v>4章组织/设施边界；5.2.1总量、5.2.4运输、5.2.5电热；绿电单列不直接扣减</x:v>
      </x:c>
      <x:c r="H9" s="7" t="str">
        <x:v>官方31页扫描全文逐页选读；印刷页3—7</x:v>
      </x:c>
      <x:c r="I9" s="7" t="str">
        <x:v>企业排放核算不是全生命周期减排；标准历史梯次措辞不自动决定现行用途</x:v>
      </x:c>
      <x:c r="J9" s="7" t="str">
        <x:v>https://dbba.sacinfo.org.cn/portal/download/78cef7eb10a04f13bf79b32dd84edfb596548488c57af9111182a1d474b5e117</x:v>
      </x:c>
    </x:row>
    <x:row r="10" ht="80" customHeight="1">
      <x:c r="A10" s="7" t="str">
        <x:v>S03</x:v>
      </x:c>
      <x:c r="B10" s="7" t="str">
        <x:v>GB/T 38698.2—2023</x:v>
      </x:c>
      <x:c r="C10" s="7" t="str">
        <x:v>车用动力电池回收利用 管理规范 第2部分：回收服务网点（GB/T 38698.2—2023）</x:v>
      </x:c>
      <x:c r="D10" s="7" t="str">
        <x:v>国家推荐性标准</x:v>
      </x:c>
      <x:c r="E10" s="7" t="str">
        <x:v>2023-09-07</x:v>
      </x:c>
      <x:c r="F10" s="7" t="str">
        <x:v>2023-09-07</x:v>
      </x:c>
      <x:c r="G10" s="7" t="str">
        <x:v>网点建设、作业、安全环保与应急；上海标准明确引用</x:v>
      </x:c>
      <x:c r="H10" s="7" t="str">
        <x:v>官方题录及状态；未逐条评注全文</x:v>
      </x:c>
      <x:c r="I10" s="7" t="str">
        <x:v>不把未核验的国标具体容量阈值用作模型参数</x:v>
      </x:c>
      <x:c r="J10" s="7" t="str">
        <x:v>https://openstd.samr.gov.cn/bzgk/std/newGbInfo?hcno=6E64F10B0819031ED30153D3AF5B661C</x:v>
      </x:c>
    </x:row>
    <x:row r="11" ht="80" customHeight="1">
      <x:c r="A11" s="7" t="str">
        <x:v>S01</x:v>
      </x:c>
      <x:c r="B11" s="7" t="str">
        <x:v>HJ 1186—2021</x:v>
      </x:c>
      <x:c r="C11" s="7" t="str">
        <x:v>废锂离子动力蓄电池处理污染控制技术规范（试行）（HJ 1186—2021）</x:v>
      </x:c>
      <x:c r="D11" s="7" t="str">
        <x:v>国家生态环境标准</x:v>
      </x:c>
      <x:c r="E11" s="7" t="str">
        <x:v>2021-08-20</x:v>
      </x:c>
      <x:c r="F11" s="7" t="str">
        <x:v>2022-01-01</x:v>
      </x:c>
      <x:c r="G11" s="7" t="str">
        <x:v>预处理、再生处理及污染控制；作为环境约束</x:v>
      </x:c>
      <x:c r="H11" s="7" t="str">
        <x:v>官方标准发布页及范围</x:v>
      </x:c>
      <x:c r="I11" s="7" t="str">
        <x:v>污染达标与温室气体清单分别评价；本次不新设排放限值</x:v>
      </x:c>
      <x:c r="J11" s="7" t="str">
        <x:v>https://www.mee.gov.cn/ywgz/fgbz/bz/bzwb/gthw/qtxgbz/202108/t20210820_858544.shtml</x:v>
      </x:c>
    </x:row>
  </x:sheetData>
  <x:pageMargins left="0.7" right="0.7" top="0.75" bottom="0.75" header="0.3" footer="0.3"/>
  <x:tableParts count="1">
    <x:tablePart xmlns:r="http://schemas.openxmlformats.org/officeDocument/2006/relationships" r:id="Re890eed6a5a949c9"/>
  </x:tableParts>
</x:worksheet>
</file>

<file path=xl/worksheets/sheet19.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35" hidden="0" customWidth="1"/>
    <x:col min="2" max="2" width="25" hidden="0" customWidth="1"/>
    <x:col min="3" max="3" width="24" hidden="0" customWidth="1"/>
    <x:col min="4" max="4" width="86" hidden="0" customWidth="1"/>
  </x:cols>
  <x:sheetData>
    <x:row r="1" ht="32" customHeight="1">
      <x:c r="A1" s="5" t="str">
        <x:v>参数或结果</x:v>
      </x:c>
      <x:c r="B1" s="5" t="str">
        <x:v>值或公式</x:v>
      </x:c>
      <x:c r="C1" s="5" t="str">
        <x:v>单位</x:v>
      </x:c>
      <x:c r="D1" s="5" t="str">
        <x:v>性质与来源</x:v>
      </x:c>
    </x:row>
    <x:row r="2" ht="38" customHeight="1">
      <x:c r="A2" s="7" t="str">
        <x:v>日入库量 λ</x:v>
      </x:c>
      <x:c r="B2" s="26" t="n">
        <x:v>1.2</x:v>
      </x:c>
      <x:c r="C2" s="7" t="str">
        <x:v>吨/日</x:v>
      </x:c>
      <x:c r="D2" s="7" t="str">
        <x:v>作者假设；专用分类区域</x:v>
      </x:c>
    </x:row>
    <x:row r="3" ht="38" customHeight="1">
      <x:c r="A3" s="7" t="str">
        <x:v>有效容量 K</x:v>
      </x:c>
      <x:c r="B3" s="26" t="n">
        <x:v>8</x:v>
      </x:c>
      <x:c r="C3" s="7" t="str">
        <x:v>吨</x:v>
      </x:c>
      <x:c r="D3" s="7" t="str">
        <x:v>作者假设；不能代替消防布局核定</x:v>
      </x:c>
    </x:row>
    <x:row r="4" ht="38" customHeight="1">
      <x:c r="A4" s="7" t="str">
        <x:v>预留存量 Q₀</x:v>
      </x:c>
      <x:c r="B4" s="26" t="n">
        <x:v>1</x:v>
      </x:c>
      <x:c r="C4" s="7" t="str">
        <x:v>吨</x:v>
      </x:c>
      <x:c r="D4" s="7" t="str">
        <x:v>作者假设</x:v>
      </x:c>
    </x:row>
    <x:row r="5" ht="38" customHeight="1">
      <x:c r="A5" s="7" t="str">
        <x:v>准备时间 δ</x:v>
      </x:c>
      <x:c r="B5" s="26" t="n">
        <x:v>1</x:v>
      </x:c>
      <x:c r="C5" s="7" t="str">
        <x:v>日</x:v>
      </x:c>
      <x:c r="D5" s="7" t="str">
        <x:v>验收、分类与发运准备；作者假设</x:v>
      </x:c>
    </x:row>
    <x:row r="6" ht="38" customHeight="1">
      <x:c r="A6" s="7" t="str">
        <x:v>A类时限 D_A</x:v>
      </x:c>
      <x:c r="B6" s="26" t="n">
        <x:v>20</x:v>
      </x:c>
      <x:c r="C6" s="7" t="str">
        <x:v>日</x:v>
      </x:c>
      <x:c r="D6" s="7" t="str">
        <x:v>上海DB31/T1556第6章</x:v>
      </x:c>
    </x:row>
    <x:row r="7" ht="38" customHeight="1">
      <x:c r="A7" s="7" t="str">
        <x:v>B/C类时限 D_BC</x:v>
      </x:c>
      <x:c r="B7" s="26" t="n">
        <x:v>5</x:v>
      </x:c>
      <x:c r="C7" s="7" t="str">
        <x:v>日</x:v>
      </x:c>
      <x:c r="D7" s="7" t="str">
        <x:v>上海标准相同期限；各类分别管理</x:v>
      </x:c>
    </x:row>
    <x:row r="8" ht="38" customHeight="1">
      <x:c r="A8" s="7" t="str">
        <x:v>转运间隔 h</x:v>
      </x:c>
      <x:c r="B8" s="26" t="n">
        <x:v>4</x:v>
      </x:c>
      <x:c r="C8" s="7" t="str">
        <x:v>日</x:v>
      </x:c>
      <x:c r="D8" s="7" t="str">
        <x:v>作者参考情景</x:v>
      </x:c>
    </x:row>
    <x:row r="9" ht="38" customHeight="1">
      <x:c r="A9" s="7" t="str">
        <x:v>A类最大h</x:v>
      </x:c>
      <x:c r="B9" s="23" t="n">
        <x:f>MAX(0,MIN(B6,(B3-B4)/B2)-B5)</x:f>
        <x:v>4.833333333333334</x:v>
      </x:c>
      <x:c r="C9" s="7" t="str">
        <x:v>日</x:v>
      </x:c>
      <x:c r="D9" s="7" t="str">
        <x:v>期限、容量两项同时满足</x:v>
      </x:c>
    </x:row>
    <x:row r="10" ht="38" customHeight="1">
      <x:c r="A10" s="7" t="str">
        <x:v>B/C最大h</x:v>
      </x:c>
      <x:c r="B10" s="23" t="n">
        <x:f>MAX(0,MIN(B7,(B3-B4)/B2)-B5)</x:f>
        <x:v>4</x:v>
      </x:c>
      <x:c r="C10" s="7" t="str">
        <x:v>日</x:v>
      </x:c>
      <x:c r="D10" s="7" t="str">
        <x:v>期限、容量两项同时满足</x:v>
      </x:c>
    </x:row>
    <x:row r="11" ht="38" customHeight="1">
      <x:c r="A11" s="7" t="str">
        <x:v>峰值库存</x:v>
      </x:c>
      <x:c r="B11" s="23" t="n">
        <x:f>B2*(B8+B5)+B4</x:f>
        <x:v>7</x:v>
      </x:c>
      <x:c r="C11" s="7" t="str">
        <x:v>吨</x:v>
      </x:c>
      <x:c r="D11" s="7" t="str">
        <x:v>λ(h+δ)+Q₀</x:v>
      </x:c>
    </x:row>
    <x:row r="12" ht="38" customHeight="1">
      <x:c r="A12" s="7" t="str">
        <x:v>最不利贮存时间</x:v>
      </x:c>
      <x:c r="B12" s="23" t="n">
        <x:f>B8+B5</x:f>
        <x:v>5</x:v>
      </x:c>
      <x:c r="C12" s="7" t="str">
        <x:v>日</x:v>
      </x:c>
      <x:c r="D12" s="7" t="str">
        <x:v>h+δ</x:v>
      </x:c>
    </x:row>
    <x:row r="13" ht="38" customHeight="1">
      <x:c r="A13" s="7" t="str">
        <x:v>A类是否满足</x:v>
      </x:c>
      <x:c r="B13" s="23" t="n">
        <x:f>IF(AND(B11&lt;=B3,B12&lt;=B6),1,0)</x:f>
        <x:v>1</x:v>
      </x:c>
      <x:c r="C13" s="7" t="str">
        <x:v>1/0</x:v>
      </x:c>
      <x:c r="D13" s="7" t="str">
        <x:v>时间及容量必要条件</x:v>
      </x:c>
    </x:row>
    <x:row r="14" ht="38" customHeight="1">
      <x:c r="A14" s="7" t="str">
        <x:v>B/C是否满足</x:v>
      </x:c>
      <x:c r="B14" s="23" t="n">
        <x:f>IF(AND(B11&lt;=B3,B12&lt;=B7),1,0)</x:f>
        <x:v>1</x:v>
      </x:c>
      <x:c r="C14" s="7" t="str">
        <x:v>1/0</x:v>
      </x:c>
      <x:c r="D14" s="7" t="str">
        <x:v>时间及容量必要条件</x:v>
      </x:c>
    </x:row>
    <x:row r="15" ht="38" customHeight="1">
      <x:c r="A15" s="7" t="str">
        <x:v>链条进入比例 c</x:v>
      </x:c>
      <x:c r="B15" s="27" t="n">
        <x:v>0.8</x:v>
      </x:c>
      <x:c r="C15" s="7" t="str">
        <x:v>比例</x:v>
      </x:c>
      <x:c r="D15" s="7" t="str">
        <x:v>同质批次或目标元素计量；作者情景</x:v>
      </x:c>
    </x:row>
    <x:row r="16" ht="38" customHeight="1">
      <x:c r="A16" s="7" t="str">
        <x:v>有效工序进入 γ</x:v>
      </x:c>
      <x:c r="B16" s="27" t="n">
        <x:v>0.95</x:v>
      </x:c>
      <x:c r="C16" s="7" t="str">
        <x:v>比例</x:v>
      </x:c>
      <x:c r="D16" s="7" t="str">
        <x:v>作者情景</x:v>
      </x:c>
    </x:row>
    <x:row r="17" ht="38" customHeight="1">
      <x:c r="A17" s="7" t="str">
        <x:v>工序锂回收率 rLi</x:v>
      </x:c>
      <x:c r="B17" s="27" t="n">
        <x:v>0.85</x:v>
      </x:c>
      <x:c r="C17" s="7" t="str">
        <x:v>比例</x:v>
      </x:c>
      <x:c r="D17" s="7" t="str">
        <x:v>GB/T33598.2的官方阈值说明</x:v>
      </x:c>
    </x:row>
    <x:row r="18" ht="38" customHeight="1">
      <x:c r="A18" s="7" t="str">
        <x:v>全链条锂回收 RLi</x:v>
      </x:c>
      <x:c r="B18" s="25" t="n">
        <x:f>B15*B16*B17</x:f>
        <x:v>0.646</x:v>
      </x:c>
      <x:c r="C18" s="7" t="str">
        <x:v>比例</x:v>
      </x:c>
      <x:c r="D18" s="7" t="str">
        <x:v>c×γ×rLi</x:v>
      </x:c>
    </x:row>
    <x:row r="19" ht="38" customHeight="1">
      <x:c r="A19" s="7" t="str">
        <x:v>处理量 M</x:v>
      </x:c>
      <x:c r="B19" s="26" t="n">
        <x:v>1000</x:v>
      </x:c>
      <x:c r="C19" s="7" t="str">
        <x:v>吨/年</x:v>
      </x:c>
      <x:c r="D19" s="7" t="str">
        <x:v>作者情景；用于总量与强度一致换算</x:v>
      </x:c>
    </x:row>
    <x:row r="20" ht="38" customHeight="1">
      <x:c r="A20" s="7" t="str">
        <x:v>单位处理用电 e</x:v>
      </x:c>
      <x:c r="B20" s="26" t="n">
        <x:v>0.6</x:v>
      </x:c>
      <x:c r="C20" s="7" t="str">
        <x:v>MWh/吨</x:v>
      </x:c>
      <x:c r="D20" s="7" t="str">
        <x:v>作者情景</x:v>
      </x:c>
    </x:row>
    <x:row r="21" ht="38" customHeight="1">
      <x:c r="A21" s="7" t="str">
        <x:v>电力因子 f</x:v>
      </x:c>
      <x:c r="B21" s="26" t="n">
        <x:v>0.5</x:v>
      </x:c>
      <x:c r="C21" s="7" t="str">
        <x:v>吨CO₂/MWh</x:v>
      </x:c>
      <x:c r="D21" s="7" t="str">
        <x:v>作者情景；非地区现行因子</x:v>
      </x:c>
    </x:row>
    <x:row r="22" ht="38" customHeight="1">
      <x:c r="A22" s="7" t="str">
        <x:v>燃烧排放强度</x:v>
      </x:c>
      <x:c r="B22" s="26" t="n">
        <x:v>0.08</x:v>
      </x:c>
      <x:c r="C22" s="7" t="str">
        <x:v>吨CO₂/吨</x:v>
      </x:c>
      <x:c r="D22" s="7" t="str">
        <x:v>作者情景</x:v>
      </x:c>
    </x:row>
    <x:row r="23" ht="38" customHeight="1">
      <x:c r="A23" s="7" t="str">
        <x:v>工业过程排放强度</x:v>
      </x:c>
      <x:c r="B23" s="26" t="n">
        <x:v>0.04</x:v>
      </x:c>
      <x:c r="C23" s="7" t="str">
        <x:v>吨CO₂/吨</x:v>
      </x:c>
      <x:c r="D23" s="7" t="str">
        <x:v>作者情景</x:v>
      </x:c>
    </x:row>
    <x:row r="24" ht="38" customHeight="1">
      <x:c r="A24" s="7" t="str">
        <x:v>运输排放强度</x:v>
      </x:c>
      <x:c r="B24" s="26" t="n">
        <x:v>0.02</x:v>
      </x:c>
      <x:c r="C24" s="7" t="str">
        <x:v>吨CO₂/吨</x:v>
      </x:c>
      <x:c r="D24" s="7" t="str">
        <x:v>作者情景</x:v>
      </x:c>
    </x:row>
    <x:row r="25" ht="38" customHeight="1">
      <x:c r="A25" s="7" t="str">
        <x:v>输出电热强度</x:v>
      </x:c>
      <x:c r="B25" s="26" t="n">
        <x:v>0</x:v>
      </x:c>
      <x:c r="C25" s="7" t="str">
        <x:v>吨CO₂/吨</x:v>
      </x:c>
      <x:c r="D25" s="7" t="str">
        <x:v>情景无该活动；实际应分列</x:v>
      </x:c>
    </x:row>
    <x:row r="26" ht="38" customHeight="1">
      <x:c r="A26" s="7" t="str">
        <x:v>CO₂回收强度</x:v>
      </x:c>
      <x:c r="B26" s="26" t="n">
        <x:v>0</x:v>
      </x:c>
      <x:c r="C26" s="7" t="str">
        <x:v>吨CO₂/吨</x:v>
      </x:c>
      <x:c r="D26" s="7" t="str">
        <x:v>情景无该活动</x:v>
      </x:c>
    </x:row>
    <x:row r="27" ht="38" customHeight="1">
      <x:c r="A27" s="7" t="str">
        <x:v>企业排放强度</x:v>
      </x:c>
      <x:c r="B27" s="23" t="n">
        <x:f>B20*B21+B22+B23+B24-B25-B26</x:f>
        <x:v>0.44</x:v>
      </x:c>
      <x:c r="C27" s="7" t="str">
        <x:v>吨CO₂/吨</x:v>
      </x:c>
      <x:c r="D27" s="7" t="str">
        <x:v>湖南标准边界下的简化碳账</x:v>
      </x:c>
    </x:row>
    <x:row r="28" ht="38" customHeight="1">
      <x:c r="A28" s="7" t="str">
        <x:v>企业排放总量</x:v>
      </x:c>
      <x:c r="B28" s="23" t="n">
        <x:f>B27*B19</x:f>
        <x:v>440</x:v>
      </x:c>
      <x:c r="C28" s="7" t="str">
        <x:v>吨CO₂/年</x:v>
      </x:c>
      <x:c r="D28" s="7" t="str">
        <x:v>强度×同边界处理量</x:v>
      </x:c>
    </x:row>
    <x:row r="31">
      <x:c r="A31" t="str">
        <x:v>绿色为可编辑情景输入；法定/标准参数有来源，不应任意修改为现行规则。h上界≤0表示无可行正周期。碳账不直接计算生命周期减排；绿电单列报告。</x:v>
      </x:c>
    </x:row>
  </x:sheetData>
  <x:pageMargins left="0.7" right="0.7" top="0.75" bottom="0.75" header="0.3" footer="0.3"/>
  <x:tableParts count="1">
    <x:tablePart xmlns:r="http://schemas.openxmlformats.org/officeDocument/2006/relationships" r:id="Rdd3ad82e0413426f"/>
  </x:tableParts>
</x:worksheet>
</file>

<file path=xl/worksheets/sheet20.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8" hidden="0" customWidth="1"/>
    <x:col min="2" max="2" width="31" hidden="0" customWidth="1"/>
    <x:col min="3" max="3" width="16" hidden="0" customWidth="1"/>
    <x:col min="4" max="4" width="16" hidden="0" customWidth="1"/>
    <x:col min="5" max="5" width="16" hidden="0" customWidth="1"/>
    <x:col min="6" max="6" width="16" hidden="0" customWidth="1"/>
    <x:col min="7" max="7" width="16" hidden="0" customWidth="1"/>
    <x:col min="8" max="8" width="22" hidden="0" customWidth="1"/>
    <x:col min="9" max="9" width="22" hidden="0" customWidth="1"/>
    <x:col min="10" max="10" width="49" hidden="0" customWidth="1"/>
  </x:cols>
  <x:sheetData>
    <x:row r="1" ht="32" customHeight="1">
      <x:c r="A1" s="5" t="str">
        <x:v>模型</x:v>
      </x:c>
      <x:c r="B1" s="5" t="str">
        <x:v>情景</x:v>
      </x:c>
      <x:c r="C1" s="5" t="str">
        <x:v>输入1</x:v>
      </x:c>
      <x:c r="D1" s="5" t="str">
        <x:v>输入2</x:v>
      </x:c>
      <x:c r="E1" s="5" t="str">
        <x:v>输入3</x:v>
      </x:c>
      <x:c r="F1" s="5" t="str">
        <x:v>输入4</x:v>
      </x:c>
      <x:c r="G1" s="5" t="str">
        <x:v>输入5</x:v>
      </x:c>
      <x:c r="H1" s="5" t="str">
        <x:v>计算结果</x:v>
      </x:c>
      <x:c r="I1" s="5" t="str">
        <x:v>与脚本差值</x:v>
      </x:c>
      <x:c r="J1" s="5" t="str">
        <x:v>解释</x:v>
      </x:c>
    </x:row>
    <x:row r="2" ht="39" customHeight="1">
      <x:c r="A2" s="7" t="str">
        <x:v>周转</x:v>
      </x:c>
      <x:c r="B2" s="7" t="str">
        <x:v>A类</x:v>
      </x:c>
      <x:c r="C2" s="23" t="n">
        <x:v>0.5</x:v>
      </x:c>
      <x:c r="D2" s="23" t="n">
        <x:v>20</x:v>
      </x:c>
      <x:c r="E2" s="23" t="n">
        <x:v>8</x:v>
      </x:c>
      <x:c r="F2" s="23" t="n">
        <x:v>1</x:v>
      </x:c>
      <x:c r="G2" s="23" t="n">
        <x:v>1</x:v>
      </x:c>
      <x:c r="H2" s="23" t="n">
        <x:f>MAX(0,MIN(D2,(E2-F2)/C2)-G2)</x:f>
        <x:v>13</x:v>
      </x:c>
      <x:c r="I2" s="23" t="n">
        <x:f>H2-13</x:f>
        <x:v>0</x:v>
      </x:c>
      <x:c r="J2" s="7" t="str">
        <x:v>容量</x:v>
      </x:c>
    </x:row>
    <x:row r="3" ht="39" customHeight="1">
      <x:c r="A3" s="7" t="str">
        <x:v>周转</x:v>
      </x:c>
      <x:c r="B3" s="7" t="str">
        <x:v>A类</x:v>
      </x:c>
      <x:c r="C3" s="23" t="n">
        <x:v>1.2</x:v>
      </x:c>
      <x:c r="D3" s="23" t="n">
        <x:v>20</x:v>
      </x:c>
      <x:c r="E3" s="23" t="n">
        <x:v>8</x:v>
      </x:c>
      <x:c r="F3" s="23" t="n">
        <x:v>1</x:v>
      </x:c>
      <x:c r="G3" s="23" t="n">
        <x:v>1</x:v>
      </x:c>
      <x:c r="H3" s="23" t="n">
        <x:f>MAX(0,MIN(D3,(E3-F3)/C3)-G3)</x:f>
        <x:v>4.833333333333334</x:v>
      </x:c>
      <x:c r="I3" s="23" t="n">
        <x:f>H3-4.833333333333334</x:f>
        <x:v>0</x:v>
      </x:c>
      <x:c r="J3" s="7" t="str">
        <x:v>容量</x:v>
      </x:c>
    </x:row>
    <x:row r="4" ht="39" customHeight="1">
      <x:c r="A4" s="7" t="str">
        <x:v>周转</x:v>
      </x:c>
      <x:c r="B4" s="7" t="str">
        <x:v>A类</x:v>
      </x:c>
      <x:c r="C4" s="23" t="n">
        <x:v>2</x:v>
      </x:c>
      <x:c r="D4" s="23" t="n">
        <x:v>20</x:v>
      </x:c>
      <x:c r="E4" s="23" t="n">
        <x:v>8</x:v>
      </x:c>
      <x:c r="F4" s="23" t="n">
        <x:v>1</x:v>
      </x:c>
      <x:c r="G4" s="23" t="n">
        <x:v>1</x:v>
      </x:c>
      <x:c r="H4" s="23" t="n">
        <x:f>MAX(0,MIN(D4,(E4-F4)/C4)-G4)</x:f>
        <x:v>2.5</x:v>
      </x:c>
      <x:c r="I4" s="23" t="n">
        <x:f>H4-2.5</x:f>
        <x:v>0</x:v>
      </x:c>
      <x:c r="J4" s="7" t="str">
        <x:v>容量</x:v>
      </x:c>
    </x:row>
    <x:row r="5" ht="39" customHeight="1">
      <x:c r="A5" s="7" t="str">
        <x:v>周转</x:v>
      </x:c>
      <x:c r="B5" s="7" t="str">
        <x:v>B/C类期限</x:v>
      </x:c>
      <x:c r="C5" s="23" t="n">
        <x:v>0.5</x:v>
      </x:c>
      <x:c r="D5" s="23" t="n">
        <x:v>5</x:v>
      </x:c>
      <x:c r="E5" s="23" t="n">
        <x:v>8</x:v>
      </x:c>
      <x:c r="F5" s="23" t="n">
        <x:v>1</x:v>
      </x:c>
      <x:c r="G5" s="23" t="n">
        <x:v>1</x:v>
      </x:c>
      <x:c r="H5" s="23" t="n">
        <x:f>MAX(0,MIN(D5,(E5-F5)/C5)-G5)</x:f>
        <x:v>4</x:v>
      </x:c>
      <x:c r="I5" s="23" t="n">
        <x:f>H5-4</x:f>
        <x:v>0</x:v>
      </x:c>
      <x:c r="J5" s="7" t="str">
        <x:v>期限</x:v>
      </x:c>
    </x:row>
    <x:row r="6" ht="39" customHeight="1">
      <x:c r="A6" s="7" t="str">
        <x:v>周转</x:v>
      </x:c>
      <x:c r="B6" s="7" t="str">
        <x:v>B/C类期限</x:v>
      </x:c>
      <x:c r="C6" s="23" t="n">
        <x:v>1.2</x:v>
      </x:c>
      <x:c r="D6" s="23" t="n">
        <x:v>5</x:v>
      </x:c>
      <x:c r="E6" s="23" t="n">
        <x:v>8</x:v>
      </x:c>
      <x:c r="F6" s="23" t="n">
        <x:v>1</x:v>
      </x:c>
      <x:c r="G6" s="23" t="n">
        <x:v>1</x:v>
      </x:c>
      <x:c r="H6" s="23" t="n">
        <x:f>MAX(0,MIN(D6,(E6-F6)/C6)-G6)</x:f>
        <x:v>4</x:v>
      </x:c>
      <x:c r="I6" s="23" t="n">
        <x:f>H6-4</x:f>
        <x:v>0</x:v>
      </x:c>
      <x:c r="J6" s="7" t="str">
        <x:v>期限</x:v>
      </x:c>
    </x:row>
    <x:row r="7" ht="39" customHeight="1">
      <x:c r="A7" s="7" t="str">
        <x:v>周转</x:v>
      </x:c>
      <x:c r="B7" s="7" t="str">
        <x:v>B/C类期限</x:v>
      </x:c>
      <x:c r="C7" s="23" t="n">
        <x:v>2</x:v>
      </x:c>
      <x:c r="D7" s="23" t="n">
        <x:v>5</x:v>
      </x:c>
      <x:c r="E7" s="23" t="n">
        <x:v>8</x:v>
      </x:c>
      <x:c r="F7" s="23" t="n">
        <x:v>1</x:v>
      </x:c>
      <x:c r="G7" s="23" t="n">
        <x:v>1</x:v>
      </x:c>
      <x:c r="H7" s="23" t="n">
        <x:f>MAX(0,MIN(D7,(E7-F7)/C7)-G7)</x:f>
        <x:v>2.5</x:v>
      </x:c>
      <x:c r="I7" s="23" t="n">
        <x:f>H7-2.5</x:f>
        <x:v>0</x:v>
      </x:c>
      <x:c r="J7" s="7" t="str">
        <x:v>容量</x:v>
      </x:c>
    </x:row>
    <x:row r="8" ht="39" customHeight="1">
      <x:c r="A8" s="7" t="str">
        <x:v>材料回收</x:v>
      </x:c>
      <x:c r="B8" s="7" t="str">
        <x:v>参考</x:v>
      </x:c>
      <x:c r="C8" s="23" t="n">
        <x:v>0.8</x:v>
      </x:c>
      <x:c r="D8" s="23" t="n">
        <x:v>0.95</x:v>
      </x:c>
      <x:c r="E8" s="23" t="n">
        <x:v>0.85</x:v>
      </x:c>
      <x:c r="F8" s="23"/>
      <x:c r="G8" s="23"/>
      <x:c r="H8" s="25" t="n">
        <x:f>C8*D8*E8</x:f>
        <x:v>0.646</x:v>
      </x:c>
      <x:c r="I8" s="23" t="n">
        <x:f>H8-0.646</x:f>
        <x:v>0</x:v>
      </x:c>
      <x:c r="J8" s="7" t="str">
        <x:v>比例为条件情景</x:v>
      </x:c>
    </x:row>
    <x:row r="9" ht="39" customHeight="1">
      <x:c r="A9" s="7" t="str">
        <x:v>材料回收</x:v>
      </x:c>
      <x:c r="B9" s="7" t="str">
        <x:v>工序率0.90</x:v>
      </x:c>
      <x:c r="C9" s="23" t="n">
        <x:v>0.8</x:v>
      </x:c>
      <x:c r="D9" s="23" t="n">
        <x:v>0.95</x:v>
      </x:c>
      <x:c r="E9" s="23" t="n">
        <x:v>0.9</x:v>
      </x:c>
      <x:c r="F9" s="23"/>
      <x:c r="G9" s="23"/>
      <x:c r="H9" s="25" t="n">
        <x:f>C9*D9*E9</x:f>
        <x:v>0.684</x:v>
      </x:c>
      <x:c r="I9" s="23" t="n">
        <x:f>H9-0.684</x:f>
        <x:v>0</x:v>
      </x:c>
      <x:c r="J9" s="7" t="str">
        <x:v>比例为条件情景</x:v>
      </x:c>
    </x:row>
    <x:row r="10" ht="39" customHeight="1">
      <x:c r="A10" s="7" t="str">
        <x:v>材料回收</x:v>
      </x:c>
      <x:c r="B10" s="7" t="str">
        <x:v>进入率0.90</x:v>
      </x:c>
      <x:c r="C10" s="23" t="n">
        <x:v>0.9</x:v>
      </x:c>
      <x:c r="D10" s="23" t="n">
        <x:v>0.95</x:v>
      </x:c>
      <x:c r="E10" s="23" t="n">
        <x:v>0.85</x:v>
      </x:c>
      <x:c r="F10" s="23"/>
      <x:c r="G10" s="23"/>
      <x:c r="H10" s="25" t="n">
        <x:f>C10*D10*E10</x:f>
        <x:v>0.72675</x:v>
      </x:c>
      <x:c r="I10" s="23" t="n">
        <x:f>H10-0.72675</x:f>
        <x:v>0</x:v>
      </x:c>
      <x:c r="J10" s="7" t="str">
        <x:v>比例为条件情景</x:v>
      </x:c>
    </x:row>
    <x:row r="11" ht="39" customHeight="1">
      <x:c r="A11" s="7" t="str">
        <x:v>碳账</x:v>
      </x:c>
      <x:c r="B11" s="7" t="str">
        <x:v>f=0.2</x:v>
      </x:c>
      <x:c r="C11" s="23" t="n">
        <x:v>0.6</x:v>
      </x:c>
      <x:c r="D11" s="23" t="n">
        <x:v>0.2</x:v>
      </x:c>
      <x:c r="E11" s="23" t="n">
        <x:v>0.14</x:v>
      </x:c>
      <x:c r="F11" s="23"/>
      <x:c r="G11" s="23"/>
      <x:c r="H11" s="23" t="n">
        <x:f>C11*D11+E11</x:f>
        <x:v>0.26</x:v>
      </x:c>
      <x:c r="I11" s="23" t="n">
        <x:f>H11-0.26</x:f>
        <x:v>0</x:v>
      </x:c>
      <x:c r="J11" s="7" t="str">
        <x:v>吨CO₂/吨处理量</x:v>
      </x:c>
    </x:row>
    <x:row r="12" ht="39" customHeight="1">
      <x:c r="A12" s="7" t="str">
        <x:v>碳账</x:v>
      </x:c>
      <x:c r="B12" s="7" t="str">
        <x:v>f=0.5</x:v>
      </x:c>
      <x:c r="C12" s="23" t="n">
        <x:v>0.6</x:v>
      </x:c>
      <x:c r="D12" s="23" t="n">
        <x:v>0.5</x:v>
      </x:c>
      <x:c r="E12" s="23" t="n">
        <x:v>0.14</x:v>
      </x:c>
      <x:c r="F12" s="23"/>
      <x:c r="G12" s="23"/>
      <x:c r="H12" s="23" t="n">
        <x:f>C12*D12+E12</x:f>
        <x:v>0.44</x:v>
      </x:c>
      <x:c r="I12" s="23" t="n">
        <x:f>H12-0.44</x:f>
        <x:v>0</x:v>
      </x:c>
      <x:c r="J12" s="7" t="str">
        <x:v>吨CO₂/吨处理量</x:v>
      </x:c>
    </x:row>
    <x:row r="13" ht="39" customHeight="1">
      <x:c r="A13" s="7" t="str">
        <x:v>碳账</x:v>
      </x:c>
      <x:c r="B13" s="7" t="str">
        <x:v>f=0.8</x:v>
      </x:c>
      <x:c r="C13" s="23" t="n">
        <x:v>0.6</x:v>
      </x:c>
      <x:c r="D13" s="23" t="n">
        <x:v>0.8</x:v>
      </x:c>
      <x:c r="E13" s="23" t="n">
        <x:v>0.14</x:v>
      </x:c>
      <x:c r="F13" s="23"/>
      <x:c r="G13" s="23"/>
      <x:c r="H13" s="23" t="n">
        <x:f>C13*D13+E13</x:f>
        <x:v>0.62</x:v>
      </x:c>
      <x:c r="I13" s="23" t="n">
        <x:f>H13-0.62</x:f>
        <x:v>0</x:v>
      </x:c>
      <x:c r="J13" s="7" t="str">
        <x:v>吨CO₂/吨处理量</x:v>
      </x:c>
    </x:row>
    <x:row r="16">
      <x:c r="A16" t="str">
        <x:v>转运h/日</x:v>
      </x:c>
      <x:c r="B16" t="str">
        <x:v>贮存时间/日</x:v>
      </x:c>
      <x:c r="C16" t="str">
        <x:v>峰值库存/吨</x:v>
      </x:c>
      <x:c r="D16" t="str">
        <x:v>上海B/C期限与情景容量</x:v>
      </x:c>
    </x:row>
    <x:row r="17">
      <x:c r="A17" t="n">
        <x:v>3</x:v>
      </x:c>
      <x:c r="B17" t="n">
        <x:v>4</x:v>
      </x:c>
      <x:c r="C17" t="n">
        <x:v>5.8</x:v>
      </x:c>
      <x:c r="D17" t="str">
        <x:v>满足必要条件</x:v>
      </x:c>
    </x:row>
    <x:row r="18">
      <x:c r="A18" t="n">
        <x:v>4</x:v>
      </x:c>
      <x:c r="B18" t="n">
        <x:v>5</x:v>
      </x:c>
      <x:c r="C18" t="n">
        <x:v>7</x:v>
      </x:c>
      <x:c r="D18" t="str">
        <x:v>满足必要条件</x:v>
      </x:c>
    </x:row>
    <x:row r="19">
      <x:c r="A19" t="n">
        <x:v>5</x:v>
      </x:c>
      <x:c r="B19" t="n">
        <x:v>6</x:v>
      </x:c>
      <x:c r="C19" t="n">
        <x:v>8.2</x:v>
      </x:c>
      <x:c r="D19" t="str">
        <x:v>至少一项不满足</x:v>
      </x:c>
    </x:row>
    <x:row r="20">
      <x:c r="A20" t="n">
        <x:v>7</x:v>
      </x:c>
      <x:c r="B20" t="n">
        <x:v>8</x:v>
      </x:c>
      <x:c r="C20" t="n">
        <x:v>10.6</x:v>
      </x:c>
      <x:c r="D20" t="str">
        <x:v>至少一项不满足</x:v>
      </x:c>
    </x:row>
    <x:row r="24" ht="36" customHeight="1">
      <x:c r="A24" s="40" t="str">
        <x:v>执行情景</x:v>
      </x:c>
      <x:c r="B24" s="40" t="str">
        <x:v>日入库量λ（吨/日）</x:v>
      </x:c>
      <x:c r="C24" s="40" t="str">
        <x:v>有效容量K（吨）</x:v>
      </x:c>
      <x:c r="D24" s="40" t="str">
        <x:v>准备时间δ（日）</x:v>
      </x:c>
      <x:c r="E24" s="40" t="str">
        <x:v>B/C最大h（日）</x:v>
      </x:c>
      <x:c r="F24" s="40" t="str">
        <x:v>情景说明</x:v>
      </x:c>
    </x:row>
    <x:row r="25" ht="36" customHeight="1">
      <x:c r="A25" s="41" t="str">
        <x:v>参考</x:v>
      </x:c>
      <x:c r="B25" s="42" t="n">
        <x:v>1.2</x:v>
      </x:c>
      <x:c r="C25" s="42" t="n">
        <x:v>8</x:v>
      </x:c>
      <x:c r="D25" s="42" t="n">
        <x:v>1</x:v>
      </x:c>
      <x:c r="E25" s="42" t="n">
        <x:f>MIN(标准模型!B7,(C25-标准模型!B4)/B25)-D25</x:f>
        <x:v>4</x:v>
      </x:c>
      <x:c r="F25" s="41" t="str">
        <x:v>D=5日，Q₀=1吨</x:v>
      </x:c>
    </x:row>
    <x:row r="26" ht="36" customHeight="1">
      <x:c r="A26" s="41" t="str">
        <x:v>容量增至10吨</x:v>
      </x:c>
      <x:c r="B26" s="42" t="n">
        <x:v>1.2</x:v>
      </x:c>
      <x:c r="C26" s="42" t="n">
        <x:v>10</x:v>
      </x:c>
      <x:c r="D26" s="42" t="n">
        <x:v>1</x:v>
      </x:c>
      <x:c r="E26" s="42" t="n">
        <x:f>MIN(标准模型!B7,(C26-标准模型!B4)/B26)-D26</x:f>
        <x:v>4</x:v>
      </x:c>
      <x:c r="F26" s="41" t="str">
        <x:v>仅改变K</x:v>
      </x:c>
    </x:row>
    <x:row r="27" ht="36" customHeight="1">
      <x:c r="A27" s="41" t="str">
        <x:v>入库降至0.8吨/日</x:v>
      </x:c>
      <x:c r="B27" s="42" t="n">
        <x:v>0.8</x:v>
      </x:c>
      <x:c r="C27" s="42" t="n">
        <x:v>8</x:v>
      </x:c>
      <x:c r="D27" s="42" t="n">
        <x:v>1</x:v>
      </x:c>
      <x:c r="E27" s="42" t="n">
        <x:f>MIN(标准模型!B7,(C27-标准模型!B4)/B27)-D27</x:f>
        <x:v>4</x:v>
      </x:c>
      <x:c r="F27" s="41" t="str">
        <x:v>仅改变λ</x:v>
      </x:c>
    </x:row>
    <x:row r="28" ht="36" customHeight="1">
      <x:c r="A28" s="41" t="str">
        <x:v>准备缩至0.5日</x:v>
      </x:c>
      <x:c r="B28" s="42" t="n">
        <x:v>1.2</x:v>
      </x:c>
      <x:c r="C28" s="42" t="n">
        <x:v>8</x:v>
      </x:c>
      <x:c r="D28" s="42" t="n">
        <x:v>0.5</x:v>
      </x:c>
      <x:c r="E28" s="42" t="n">
        <x:f>MIN(标准模型!B7,(C28-标准模型!B4)/B28)-D28</x:f>
        <x:v>4.5</x:v>
      </x:c>
      <x:c r="F28" s="41" t="str">
        <x:v>仅改变δ</x:v>
      </x:c>
    </x:row>
    <x:row r="29" ht="36" customHeight="1">
      <x:c r="A29" s="41" t="str">
        <x:v>入库增至2吨/日</x:v>
      </x:c>
      <x:c r="B29" s="42" t="n">
        <x:v>2</x:v>
      </x:c>
      <x:c r="C29" s="42" t="n">
        <x:v>8</x:v>
      </x:c>
      <x:c r="D29" s="42" t="n">
        <x:v>1</x:v>
      </x:c>
      <x:c r="E29" s="42" t="n">
        <x:f>MIN(标准模型!B7,(C29-标准模型!B4)/B29)-D29</x:f>
        <x:v>2.5</x:v>
      </x:c>
      <x:c r="F29" s="41" t="str">
        <x:v>仅改变λ</x:v>
      </x:c>
    </x:row>
  </x:sheetData>
  <x:pageMargins left="0.7" right="0.7" top="0.75" bottom="0.75" header="0.3" footer="0.3"/>
  <x:tableParts count="1">
    <x:tablePart xmlns:r="http://schemas.openxmlformats.org/officeDocument/2006/relationships" r:id="R23f0309b2f1e44b1"/>
  </x:tableParts>
</x:worksheet>
</file>

<file path=xl/worksheets/sheet2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44" hidden="0" customWidth="1"/>
    <x:col min="2" max="2" width="12" hidden="0" customWidth="1"/>
    <x:col min="3" max="3" width="25" hidden="0" customWidth="1"/>
    <x:col min="4" max="4" width="23" hidden="0" customWidth="1"/>
    <x:col min="5" max="5" width="11" hidden="0" customWidth="1"/>
    <x:col min="6" max="6" width="90" hidden="0" customWidth="1"/>
  </x:cols>
  <x:sheetData>
    <x:row r="1" ht="32" customHeight="1">
      <x:c r="A1" s="5" t="str">
        <x:v>地区</x:v>
      </x:c>
      <x:c r="B1" s="5" t="str">
        <x:v>年份</x:v>
      </x:c>
      <x:c r="C1" s="5" t="str">
        <x:v>化学体系</x:v>
      </x:c>
      <x:c r="D1" s="5" t="str">
        <x:v>电池容量份额</x:v>
      </x:c>
      <x:c r="E1" s="5" t="str">
        <x:v>来源ID</x:v>
      </x:c>
      <x:c r="F1" s="5" t="str">
        <x:v>计量范围与处理</x:v>
      </x:c>
    </x:row>
    <x:row r="2" ht="36" customHeight="1">
      <x:c r="A2" s="7" t="str">
        <x:v>中国</x:v>
      </x:c>
      <x:c r="B2" s="7" t="n">
        <x:v>2023</x:v>
      </x:c>
      <x:c r="C2" s="7" t="str">
        <x:v>低镍</x:v>
      </x:c>
      <x:c r="D2" s="12" t="n">
        <x:v>0.019</x:v>
      </x:c>
      <x:c r="E2" s="7" t="str">
        <x:v>D03</x:v>
      </x:c>
      <x:c r="F2" s="7" t="str">
        <x:v>新注册车辆电池容量；排除二/三轮；LFP含LMFP；全部数据保留</x:v>
      </x:c>
    </x:row>
    <x:row r="3" ht="36" customHeight="1">
      <x:c r="A3" s="7" t="str">
        <x:v>中国</x:v>
      </x:c>
      <x:c r="B3" s="7" t="n">
        <x:v>2023</x:v>
      </x:c>
      <x:c r="C3" s="7" t="str">
        <x:v>中高镍</x:v>
      </x:c>
      <x:c r="D3" s="12" t="n">
        <x:v>0.308</x:v>
      </x:c>
      <x:c r="E3" s="7" t="str">
        <x:v>D03</x:v>
      </x:c>
      <x:c r="F3" s="7" t="str">
        <x:v>新注册车辆电池容量；排除二/三轮；LFP含LMFP；全部数据保留</x:v>
      </x:c>
    </x:row>
    <x:row r="4" ht="36" customHeight="1">
      <x:c r="A4" s="7" t="str">
        <x:v>中国</x:v>
      </x:c>
      <x:c r="B4" s="7" t="n">
        <x:v>2023</x:v>
      </x:c>
      <x:c r="C4" s="7" t="str">
        <x:v>磷酸铁锂</x:v>
      </x:c>
      <x:c r="D4" s="12" t="n">
        <x:v>0.6729999999999999</x:v>
      </x:c>
      <x:c r="E4" s="7" t="str">
        <x:v>D03</x:v>
      </x:c>
      <x:c r="F4" s="7" t="str">
        <x:v>新注册车辆电池容量；排除二/三轮；LFP含LMFP；全部数据保留</x:v>
      </x:c>
    </x:row>
    <x:row r="5" ht="36" customHeight="1">
      <x:c r="A5" s="7" t="str">
        <x:v>中国</x:v>
      </x:c>
      <x:c r="B5" s="7" t="n">
        <x:v>2024</x:v>
      </x:c>
      <x:c r="C5" s="7" t="str">
        <x:v>低镍</x:v>
      </x:c>
      <x:c r="D5" s="12" t="n">
        <x:v>0.004</x:v>
      </x:c>
      <x:c r="E5" s="7" t="str">
        <x:v>D03</x:v>
      </x:c>
      <x:c r="F5" s="7" t="str">
        <x:v>新注册车辆电池容量；排除二/三轮；LFP含LMFP；全部数据保留</x:v>
      </x:c>
    </x:row>
    <x:row r="6" ht="36" customHeight="1">
      <x:c r="A6" s="7" t="str">
        <x:v>中国</x:v>
      </x:c>
      <x:c r="B6" s="7" t="n">
        <x:v>2024</x:v>
      </x:c>
      <x:c r="C6" s="7" t="str">
        <x:v>中高镍</x:v>
      </x:c>
      <x:c r="D6" s="12" t="n">
        <x:v>0.25</x:v>
      </x:c>
      <x:c r="E6" s="7" t="str">
        <x:v>D03</x:v>
      </x:c>
      <x:c r="F6" s="7" t="str">
        <x:v>新注册车辆电池容量；排除二/三轮；LFP含LMFP；全部数据保留</x:v>
      </x:c>
    </x:row>
    <x:row r="7" ht="36" customHeight="1">
      <x:c r="A7" s="7" t="str">
        <x:v>中国</x:v>
      </x:c>
      <x:c r="B7" s="7" t="n">
        <x:v>2024</x:v>
      </x:c>
      <x:c r="C7" s="7" t="str">
        <x:v>磷酸铁锂</x:v>
      </x:c>
      <x:c r="D7" s="12" t="n">
        <x:v>0.746</x:v>
      </x:c>
      <x:c r="E7" s="7" t="str">
        <x:v>D03</x:v>
      </x:c>
      <x:c r="F7" s="7" t="str">
        <x:v>新注册车辆电池容量；排除二/三轮；LFP含LMFP；全部数据保留</x:v>
      </x:c>
    </x:row>
    <x:row r="8" ht="36" customHeight="1">
      <x:c r="A8" s="7" t="str">
        <x:v>中国</x:v>
      </x:c>
      <x:c r="B8" s="7" t="n">
        <x:v>2025</x:v>
      </x:c>
      <x:c r="C8" s="7" t="str">
        <x:v>低镍</x:v>
      </x:c>
      <x:c r="D8" s="12" t="n">
        <x:v>0.001</x:v>
      </x:c>
      <x:c r="E8" s="7" t="str">
        <x:v>D03</x:v>
      </x:c>
      <x:c r="F8" s="7" t="str">
        <x:v>新注册车辆电池容量；排除二/三轮；LFP含LMFP；全部数据保留</x:v>
      </x:c>
    </x:row>
    <x:row r="9" ht="36" customHeight="1">
      <x:c r="A9" s="7" t="str">
        <x:v>中国</x:v>
      </x:c>
      <x:c r="B9" s="7" t="n">
        <x:v>2025</x:v>
      </x:c>
      <x:c r="C9" s="7" t="str">
        <x:v>中高镍</x:v>
      </x:c>
      <x:c r="D9" s="12" t="n">
        <x:v>0.187</x:v>
      </x:c>
      <x:c r="E9" s="7" t="str">
        <x:v>D03</x:v>
      </x:c>
      <x:c r="F9" s="7" t="str">
        <x:v>新注册车辆电池容量；排除二/三轮；LFP含LMFP；全部数据保留</x:v>
      </x:c>
    </x:row>
    <x:row r="10" ht="36" customHeight="1">
      <x:c r="A10" s="7" t="str">
        <x:v>中国</x:v>
      </x:c>
      <x:c r="B10" s="7" t="n">
        <x:v>2025</x:v>
      </x:c>
      <x:c r="C10" s="7" t="str">
        <x:v>磷酸铁锂</x:v>
      </x:c>
      <x:c r="D10" s="12" t="n">
        <x:v>0.812</x:v>
      </x:c>
      <x:c r="E10" s="7" t="str">
        <x:v>D03</x:v>
      </x:c>
      <x:c r="F10" s="7" t="str">
        <x:v>新注册车辆电池容量；排除二/三轮；LFP含LMFP；全部数据保留</x:v>
      </x:c>
    </x:row>
    <x:row r="11" ht="36" customHeight="1">
      <x:c r="A11" s="7" t="str">
        <x:v>其他新兴市场和发展中经济体</x:v>
      </x:c>
      <x:c r="B11" s="7" t="n">
        <x:v>2023</x:v>
      </x:c>
      <x:c r="C11" s="7" t="str">
        <x:v>低镍</x:v>
      </x:c>
      <x:c r="D11" s="12" t="n">
        <x:v>0.126</x:v>
      </x:c>
      <x:c r="E11" s="7" t="str">
        <x:v>D03</x:v>
      </x:c>
      <x:c r="F11" s="7" t="str">
        <x:v>新注册车辆电池容量；排除二/三轮；LFP含LMFP；全部数据保留</x:v>
      </x:c>
    </x:row>
    <x:row r="12" ht="36" customHeight="1">
      <x:c r="A12" s="7" t="str">
        <x:v>其他新兴市场和发展中经济体</x:v>
      </x:c>
      <x:c r="B12" s="7" t="n">
        <x:v>2023</x:v>
      </x:c>
      <x:c r="C12" s="7" t="str">
        <x:v>中高镍</x:v>
      </x:c>
      <x:c r="D12" s="12" t="n">
        <x:v>0.545</x:v>
      </x:c>
      <x:c r="E12" s="7" t="str">
        <x:v>D03</x:v>
      </x:c>
      <x:c r="F12" s="7" t="str">
        <x:v>新注册车辆电池容量；排除二/三轮；LFP含LMFP；全部数据保留</x:v>
      </x:c>
    </x:row>
    <x:row r="13" ht="36" customHeight="1">
      <x:c r="A13" s="7" t="str">
        <x:v>其他新兴市场和发展中经济体</x:v>
      </x:c>
      <x:c r="B13" s="7" t="n">
        <x:v>2023</x:v>
      </x:c>
      <x:c r="C13" s="7" t="str">
        <x:v>磷酸铁锂</x:v>
      </x:c>
      <x:c r="D13" s="12" t="n">
        <x:v>0.32899999999999996</x:v>
      </x:c>
      <x:c r="E13" s="7" t="str">
        <x:v>D03</x:v>
      </x:c>
      <x:c r="F13" s="7" t="str">
        <x:v>新注册车辆电池容量；排除二/三轮；LFP含LMFP；全部数据保留</x:v>
      </x:c>
    </x:row>
    <x:row r="14" ht="36" customHeight="1">
      <x:c r="A14" s="7" t="str">
        <x:v>其他新兴市场和发展中经济体</x:v>
      </x:c>
      <x:c r="B14" s="7" t="n">
        <x:v>2024</x:v>
      </x:c>
      <x:c r="C14" s="7" t="str">
        <x:v>低镍</x:v>
      </x:c>
      <x:c r="D14" s="12" t="n">
        <x:v>0.066</x:v>
      </x:c>
      <x:c r="E14" s="7" t="str">
        <x:v>D03</x:v>
      </x:c>
      <x:c r="F14" s="7" t="str">
        <x:v>新注册车辆电池容量；排除二/三轮；LFP含LMFP；全部数据保留</x:v>
      </x:c>
    </x:row>
    <x:row r="15" ht="36" customHeight="1">
      <x:c r="A15" s="7" t="str">
        <x:v>其他新兴市场和发展中经济体</x:v>
      </x:c>
      <x:c r="B15" s="7" t="n">
        <x:v>2024</x:v>
      </x:c>
      <x:c r="C15" s="7" t="str">
        <x:v>中高镍</x:v>
      </x:c>
      <x:c r="D15" s="12" t="n">
        <x:v>0.47100000000000003</x:v>
      </x:c>
      <x:c r="E15" s="7" t="str">
        <x:v>D03</x:v>
      </x:c>
      <x:c r="F15" s="7" t="str">
        <x:v>新注册车辆电池容量；排除二/三轮；LFP含LMFP；全部数据保留</x:v>
      </x:c>
    </x:row>
    <x:row r="16" ht="36" customHeight="1">
      <x:c r="A16" s="7" t="str">
        <x:v>其他新兴市场和发展中经济体</x:v>
      </x:c>
      <x:c r="B16" s="7" t="n">
        <x:v>2024</x:v>
      </x:c>
      <x:c r="C16" s="7" t="str">
        <x:v>磷酸铁锂</x:v>
      </x:c>
      <x:c r="D16" s="12" t="n">
        <x:v>0.46299999999999997</x:v>
      </x:c>
      <x:c r="E16" s="7" t="str">
        <x:v>D03</x:v>
      </x:c>
      <x:c r="F16" s="7" t="str">
        <x:v>新注册车辆电池容量；排除二/三轮；LFP含LMFP；全部数据保留</x:v>
      </x:c>
    </x:row>
    <x:row r="17" ht="36" customHeight="1">
      <x:c r="A17" s="7" t="str">
        <x:v>其他新兴市场和发展中经济体</x:v>
      </x:c>
      <x:c r="B17" s="7" t="n">
        <x:v>2025</x:v>
      </x:c>
      <x:c r="C17" s="7" t="str">
        <x:v>低镍</x:v>
      </x:c>
      <x:c r="D17" s="12" t="n">
        <x:v>0.040999999999999995</x:v>
      </x:c>
      <x:c r="E17" s="7" t="str">
        <x:v>D03</x:v>
      </x:c>
      <x:c r="F17" s="7" t="str">
        <x:v>新注册车辆电池容量；排除二/三轮；LFP含LMFP；全部数据保留</x:v>
      </x:c>
    </x:row>
    <x:row r="18" ht="36" customHeight="1">
      <x:c r="A18" s="7" t="str">
        <x:v>其他新兴市场和发展中经济体</x:v>
      </x:c>
      <x:c r="B18" s="7" t="n">
        <x:v>2025</x:v>
      </x:c>
      <x:c r="C18" s="7" t="str">
        <x:v>中高镍</x:v>
      </x:c>
      <x:c r="D18" s="12" t="n">
        <x:v>0.294</x:v>
      </x:c>
      <x:c r="E18" s="7" t="str">
        <x:v>D03</x:v>
      </x:c>
      <x:c r="F18" s="7" t="str">
        <x:v>新注册车辆电池容量；排除二/三轮；LFP含LMFP；全部数据保留</x:v>
      </x:c>
    </x:row>
    <x:row r="19" ht="36" customHeight="1">
      <x:c r="A19" s="7" t="str">
        <x:v>其他新兴市场和发展中经济体</x:v>
      </x:c>
      <x:c r="B19" s="7" t="n">
        <x:v>2025</x:v>
      </x:c>
      <x:c r="C19" s="7" t="str">
        <x:v>磷酸铁锂</x:v>
      </x:c>
      <x:c r="D19" s="12" t="n">
        <x:v>0.665</x:v>
      </x:c>
      <x:c r="E19" s="7" t="str">
        <x:v>D03</x:v>
      </x:c>
      <x:c r="F19" s="7" t="str">
        <x:v>新注册车辆电池容量；排除二/三轮；LFP含LMFP；全部数据保留</x:v>
      </x:c>
    </x:row>
    <x:row r="20" ht="36" customHeight="1">
      <x:c r="A20" s="7" t="str">
        <x:v>欧盟</x:v>
      </x:c>
      <x:c r="B20" s="7" t="n">
        <x:v>2023</x:v>
      </x:c>
      <x:c r="C20" s="7" t="str">
        <x:v>低镍</x:v>
      </x:c>
      <x:c r="D20" s="12" t="n">
        <x:v>0.19399999999999998</x:v>
      </x:c>
      <x:c r="E20" s="7" t="str">
        <x:v>D03</x:v>
      </x:c>
      <x:c r="F20" s="7" t="str">
        <x:v>新注册车辆电池容量；排除二/三轮；LFP含LMFP；全部数据保留</x:v>
      </x:c>
    </x:row>
    <x:row r="21" ht="36" customHeight="1">
      <x:c r="A21" s="7" t="str">
        <x:v>欧盟</x:v>
      </x:c>
      <x:c r="B21" s="7" t="n">
        <x:v>2023</x:v>
      </x:c>
      <x:c r="C21" s="7" t="str">
        <x:v>中高镍</x:v>
      </x:c>
      <x:c r="D21" s="12" t="n">
        <x:v>0.755</x:v>
      </x:c>
      <x:c r="E21" s="7" t="str">
        <x:v>D03</x:v>
      </x:c>
      <x:c r="F21" s="7" t="str">
        <x:v>新注册车辆电池容量；排除二/三轮；LFP含LMFP；全部数据保留</x:v>
      </x:c>
    </x:row>
    <x:row r="22" ht="36" customHeight="1">
      <x:c r="A22" s="7" t="str">
        <x:v>欧盟</x:v>
      </x:c>
      <x:c r="B22" s="7" t="n">
        <x:v>2023</x:v>
      </x:c>
      <x:c r="C22" s="7" t="str">
        <x:v>磷酸铁锂</x:v>
      </x:c>
      <x:c r="D22" s="12" t="n">
        <x:v>0.051</x:v>
      </x:c>
      <x:c r="E22" s="7" t="str">
        <x:v>D03</x:v>
      </x:c>
      <x:c r="F22" s="7" t="str">
        <x:v>新注册车辆电池容量；排除二/三轮；LFP含LMFP；全部数据保留</x:v>
      </x:c>
    </x:row>
    <x:row r="23" ht="36" customHeight="1">
      <x:c r="A23" s="7" t="str">
        <x:v>欧盟</x:v>
      </x:c>
      <x:c r="B23" s="7" t="n">
        <x:v>2024</x:v>
      </x:c>
      <x:c r="C23" s="7" t="str">
        <x:v>低镍</x:v>
      </x:c>
      <x:c r="D23" s="12" t="n">
        <x:v>0.113</x:v>
      </x:c>
      <x:c r="E23" s="7" t="str">
        <x:v>D03</x:v>
      </x:c>
      <x:c r="F23" s="7" t="str">
        <x:v>新注册车辆电池容量；排除二/三轮；LFP含LMFP；全部数据保留</x:v>
      </x:c>
    </x:row>
    <x:row r="24" ht="36" customHeight="1">
      <x:c r="A24" s="7" t="str">
        <x:v>欧盟</x:v>
      </x:c>
      <x:c r="B24" s="7" t="n">
        <x:v>2024</x:v>
      </x:c>
      <x:c r="C24" s="7" t="str">
        <x:v>中高镍</x:v>
      </x:c>
      <x:c r="D24" s="12" t="n">
        <x:v>0.767</x:v>
      </x:c>
      <x:c r="E24" s="7" t="str">
        <x:v>D03</x:v>
      </x:c>
      <x:c r="F24" s="7" t="str">
        <x:v>新注册车辆电池容量；排除二/三轮；LFP含LMFP；全部数据保留</x:v>
      </x:c>
    </x:row>
    <x:row r="25" ht="36" customHeight="1">
      <x:c r="A25" s="7" t="str">
        <x:v>欧盟</x:v>
      </x:c>
      <x:c r="B25" s="7" t="n">
        <x:v>2024</x:v>
      </x:c>
      <x:c r="C25" s="7" t="str">
        <x:v>磷酸铁锂</x:v>
      </x:c>
      <x:c r="D25" s="12" t="n">
        <x:v>0.12</x:v>
      </x:c>
      <x:c r="E25" s="7" t="str">
        <x:v>D03</x:v>
      </x:c>
      <x:c r="F25" s="7" t="str">
        <x:v>新注册车辆电池容量；排除二/三轮；LFP含LMFP；全部数据保留</x:v>
      </x:c>
    </x:row>
    <x:row r="26" ht="36" customHeight="1">
      <x:c r="A26" s="7" t="str">
        <x:v>欧盟</x:v>
      </x:c>
      <x:c r="B26" s="7" t="n">
        <x:v>2025</x:v>
      </x:c>
      <x:c r="C26" s="7" t="str">
        <x:v>低镍</x:v>
      </x:c>
      <x:c r="D26" s="12" t="n">
        <x:v>0.114</x:v>
      </x:c>
      <x:c r="E26" s="7" t="str">
        <x:v>D03</x:v>
      </x:c>
      <x:c r="F26" s="7" t="str">
        <x:v>新注册车辆电池容量；排除二/三轮；LFP含LMFP；全部数据保留</x:v>
      </x:c>
    </x:row>
    <x:row r="27" ht="36" customHeight="1">
      <x:c r="A27" s="7" t="str">
        <x:v>欧盟</x:v>
      </x:c>
      <x:c r="B27" s="7" t="n">
        <x:v>2025</x:v>
      </x:c>
      <x:c r="C27" s="7" t="str">
        <x:v>中高镍</x:v>
      </x:c>
      <x:c r="D27" s="12" t="n">
        <x:v>0.759</x:v>
      </x:c>
      <x:c r="E27" s="7" t="str">
        <x:v>D03</x:v>
      </x:c>
      <x:c r="F27" s="7" t="str">
        <x:v>新注册车辆电池容量；排除二/三轮；LFP含LMFP；全部数据保留</x:v>
      </x:c>
    </x:row>
    <x:row r="28" ht="36" customHeight="1">
      <x:c r="A28" s="7" t="str">
        <x:v>欧盟</x:v>
      </x:c>
      <x:c r="B28" s="7" t="n">
        <x:v>2025</x:v>
      </x:c>
      <x:c r="C28" s="7" t="str">
        <x:v>磷酸铁锂</x:v>
      </x:c>
      <x:c r="D28" s="12" t="n">
        <x:v>0.127</x:v>
      </x:c>
      <x:c r="E28" s="7" t="str">
        <x:v>D03</x:v>
      </x:c>
      <x:c r="F28" s="7" t="str">
        <x:v>新注册车辆电池容量；排除二/三轮；LFP含LMFP；全部数据保留</x:v>
      </x:c>
    </x:row>
    <x:row r="29" ht="36" customHeight="1">
      <x:c r="A29" s="7" t="str">
        <x:v>美国</x:v>
      </x:c>
      <x:c r="B29" s="7" t="n">
        <x:v>2023</x:v>
      </x:c>
      <x:c r="C29" s="7" t="str">
        <x:v>低镍</x:v>
      </x:c>
      <x:c r="D29" s="12" t="n">
        <x:v>0.011000000000000001</x:v>
      </x:c>
      <x:c r="E29" s="7" t="str">
        <x:v>D03</x:v>
      </x:c>
      <x:c r="F29" s="7" t="str">
        <x:v>新注册车辆电池容量；排除二/三轮；LFP含LMFP；全部数据保留</x:v>
      </x:c>
    </x:row>
    <x:row r="30" ht="36" customHeight="1">
      <x:c r="A30" s="7" t="str">
        <x:v>美国</x:v>
      </x:c>
      <x:c r="B30" s="7" t="n">
        <x:v>2023</x:v>
      </x:c>
      <x:c r="C30" s="7" t="str">
        <x:v>中高镍</x:v>
      </x:c>
      <x:c r="D30" s="12" t="n">
        <x:v>0.91</x:v>
      </x:c>
      <x:c r="E30" s="7" t="str">
        <x:v>D03</x:v>
      </x:c>
      <x:c r="F30" s="7" t="str">
        <x:v>新注册车辆电池容量；排除二/三轮；LFP含LMFP；全部数据保留</x:v>
      </x:c>
    </x:row>
    <x:row r="31" ht="36" customHeight="1">
      <x:c r="A31" s="7" t="str">
        <x:v>美国</x:v>
      </x:c>
      <x:c r="B31" s="7" t="n">
        <x:v>2023</x:v>
      </x:c>
      <x:c r="C31" s="7" t="str">
        <x:v>磷酸铁锂</x:v>
      </x:c>
      <x:c r="D31" s="12" t="n">
        <x:v>0.079</x:v>
      </x:c>
      <x:c r="E31" s="7" t="str">
        <x:v>D03</x:v>
      </x:c>
      <x:c r="F31" s="7" t="str">
        <x:v>新注册车辆电池容量；排除二/三轮；LFP含LMFP；全部数据保留</x:v>
      </x:c>
    </x:row>
    <x:row r="32" ht="36" customHeight="1">
      <x:c r="A32" s="7" t="str">
        <x:v>美国</x:v>
      </x:c>
      <x:c r="B32" s="7" t="n">
        <x:v>2024</x:v>
      </x:c>
      <x:c r="C32" s="7" t="str">
        <x:v>低镍</x:v>
      </x:c>
      <x:c r="D32" s="12" t="n">
        <x:v>0.002</x:v>
      </x:c>
      <x:c r="E32" s="7" t="str">
        <x:v>D03</x:v>
      </x:c>
      <x:c r="F32" s="7" t="str">
        <x:v>新注册车辆电池容量；排除二/三轮；LFP含LMFP；全部数据保留</x:v>
      </x:c>
    </x:row>
    <x:row r="33" ht="36" customHeight="1">
      <x:c r="A33" s="7" t="str">
        <x:v>美国</x:v>
      </x:c>
      <x:c r="B33" s="7" t="n">
        <x:v>2024</x:v>
      </x:c>
      <x:c r="C33" s="7" t="str">
        <x:v>中高镍</x:v>
      </x:c>
      <x:c r="D33" s="12" t="n">
        <x:v>0.929</x:v>
      </x:c>
      <x:c r="E33" s="7" t="str">
        <x:v>D03</x:v>
      </x:c>
      <x:c r="F33" s="7" t="str">
        <x:v>新注册车辆电池容量；排除二/三轮；LFP含LMFP；全部数据保留</x:v>
      </x:c>
    </x:row>
    <x:row r="34" ht="36" customHeight="1">
      <x:c r="A34" s="7" t="str">
        <x:v>美国</x:v>
      </x:c>
      <x:c r="B34" s="7" t="n">
        <x:v>2024</x:v>
      </x:c>
      <x:c r="C34" s="7" t="str">
        <x:v>磷酸铁锂</x:v>
      </x:c>
      <x:c r="D34" s="12" t="n">
        <x:v>0.069</x:v>
      </x:c>
      <x:c r="E34" s="7" t="str">
        <x:v>D03</x:v>
      </x:c>
      <x:c r="F34" s="7" t="str">
        <x:v>新注册车辆电池容量；排除二/三轮；LFP含LMFP；全部数据保留</x:v>
      </x:c>
    </x:row>
    <x:row r="35" ht="36" customHeight="1">
      <x:c r="A35" s="7" t="str">
        <x:v>美国</x:v>
      </x:c>
      <x:c r="B35" s="7" t="n">
        <x:v>2025</x:v>
      </x:c>
      <x:c r="C35" s="7" t="str">
        <x:v>低镍</x:v>
      </x:c>
      <x:c r="D35" s="12" t="n">
        <x:v>0.004</x:v>
      </x:c>
      <x:c r="E35" s="7" t="str">
        <x:v>D03</x:v>
      </x:c>
      <x:c r="F35" s="7" t="str">
        <x:v>新注册车辆电池容量；排除二/三轮；LFP含LMFP；全部数据保留</x:v>
      </x:c>
    </x:row>
    <x:row r="36" ht="36" customHeight="1">
      <x:c r="A36" s="7" t="str">
        <x:v>美国</x:v>
      </x:c>
      <x:c r="B36" s="7" t="n">
        <x:v>2025</x:v>
      </x:c>
      <x:c r="C36" s="7" t="str">
        <x:v>中高镍</x:v>
      </x:c>
      <x:c r="D36" s="12" t="n">
        <x:v>0.9570000000000001</x:v>
      </x:c>
      <x:c r="E36" s="7" t="str">
        <x:v>D03</x:v>
      </x:c>
      <x:c r="F36" s="7" t="str">
        <x:v>新注册车辆电池容量；排除二/三轮；LFP含LMFP；全部数据保留</x:v>
      </x:c>
    </x:row>
    <x:row r="37" ht="36" customHeight="1">
      <x:c r="A37" s="7" t="str">
        <x:v>美国</x:v>
      </x:c>
      <x:c r="B37" s="7" t="n">
        <x:v>2025</x:v>
      </x:c>
      <x:c r="C37" s="7" t="str">
        <x:v>磷酸铁锂</x:v>
      </x:c>
      <x:c r="D37" s="12" t="n">
        <x:v>0.039</x:v>
      </x:c>
      <x:c r="E37" s="7" t="str">
        <x:v>D03</x:v>
      </x:c>
      <x:c r="F37" s="7" t="str">
        <x:v>新注册车辆电池容量；排除二/三轮；LFP含LMFP；全部数据保留</x:v>
      </x:c>
    </x:row>
    <x:row r="40">
      <x:c r="A40" t="str">
        <x:v>完整来源：https://www.iea.org/data-and-statistics/charts/electric-vehicle-battery-sales-share-by-chemistry-and-region-2023-2025；IEA，CC BY 4.0；图4由作者R重绘。</x:v>
      </x:c>
    </x:row>
  </x:sheetData>
  <x:pageMargins left="0.7" right="0.7" top="0.75" bottom="0.75" header="0.3" footer="0.3"/>
  <x:tableParts count="1">
    <x:tablePart xmlns:r="http://schemas.openxmlformats.org/officeDocument/2006/relationships" r:id="Rf3662fffcbb94ded"/>
  </x:tableParts>
</x:worksheet>
</file>

<file path=xl/worksheets/sheet2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4" hidden="0" customWidth="1"/>
    <x:col min="2" max="2" width="24" hidden="0" customWidth="1"/>
    <x:col min="3" max="3" width="28" hidden="0" customWidth="1"/>
    <x:col min="4" max="4" width="28" hidden="0" customWidth="1"/>
    <x:col min="5" max="5" width="56" hidden="0" customWidth="1"/>
    <x:col min="6" max="6" width="25" hidden="0" customWidth="1"/>
    <x:col min="7" max="7" width="58" hidden="0" customWidth="1"/>
  </x:cols>
  <x:sheetData>
    <x:row r="1" ht="32" customHeight="1">
      <x:c r="A1" s="45" t="str">
        <x:v>来源ID</x:v>
      </x:c>
      <x:c r="B1" s="45" t="str">
        <x:v>证据对象</x:v>
      </x:c>
      <x:c r="C1" s="45" t="str">
        <x:v>原文定位</x:v>
      </x:c>
      <x:c r="D1" s="45" t="str">
        <x:v>本稿位置</x:v>
      </x:c>
      <x:c r="E1" s="45" t="str">
        <x:v>使用方式</x:v>
      </x:c>
      <x:c r="F1" s="45" t="str">
        <x:v>原文许可</x:v>
      </x:c>
      <x:c r="G1" s="45" t="str">
        <x:v>适用边界</x:v>
      </x:c>
    </x:row>
    <x:row r="2" ht="64" customHeight="1">
      <x:c r="A2" s="7" t="str">
        <x:v>L07</x:v>
      </x:c>
      <x:c r="B2" s="7" t="str">
        <x:v>国际技术价值链</x:v>
      </x:c>
      <x:c r="C2" s="7" t="str">
        <x:v>Fig.1</x:v>
      </x:c>
      <x:c r="D2" s="7" t="str">
        <x:v>报告图5</x:v>
      </x:c>
      <x:c r="E2" s="7" t="str">
        <x:v>完整原图，等比例显示</x:v>
      </x:c>
      <x:c r="F2" s="7" t="str">
        <x:v>CC BY-NC-ND 4.0</x:v>
      </x:c>
      <x:c r="G2" s="7" t="str">
        <x:v>非商业学习；原图未改动</x:v>
      </x:c>
    </x:row>
    <x:row r="3" ht="64" customHeight="1">
      <x:c r="A3" s="7" t="str">
        <x:v>L16</x:v>
      </x:c>
      <x:c r="B3" s="7" t="str">
        <x:v>直接再生示例</x:v>
      </x:c>
      <x:c r="C3" s="7" t="str">
        <x:v>Fig.7</x:v>
      </x:c>
      <x:c r="D3" s="7" t="str">
        <x:v>报告图6</x:v>
      </x:c>
      <x:c r="E3" s="7" t="str">
        <x:v>完整原图，等比例显示</x:v>
      </x:c>
      <x:c r="F3" s="7" t="str">
        <x:v>CC BY 4.0</x:v>
      </x:c>
      <x:c r="G3" s="7" t="str">
        <x:v>技术示例与中国现行合法用途分开</x:v>
      </x:c>
    </x:row>
    <x:row r="4" ht="64" customHeight="1">
      <x:c r="A4" s="7" t="str">
        <x:v>D03</x:v>
      </x:c>
      <x:c r="B4" s="7" t="str">
        <x:v>IEA化学体系结构</x:v>
      </x:c>
      <x:c r="C4" s="7" t="str">
        <x:v>官方图表CSV</x:v>
      </x:c>
      <x:c r="D4" s="7" t="str">
        <x:v>报告图4</x:v>
      </x:c>
      <x:c r="E4" s="7" t="str">
        <x:v>依据全部36条数据以R重绘</x:v>
      </x:c>
      <x:c r="F4" s="7" t="str">
        <x:v>CC BY 4.0</x:v>
      </x:c>
      <x:c r="G4" s="7" t="str">
        <x:v>新注册车辆容量份额，不是退役结构</x:v>
      </x:c>
    </x:row>
    <x:row r="5" ht="64" customHeight="1">
      <x:c r="A5" s="7" t="str">
        <x:v>D04—D06</x:v>
      </x:c>
      <x:c r="B5" s="7" t="str">
        <x:v>完整年度产业数据</x:v>
      </x:c>
      <x:c r="C5" s="7" t="str">
        <x:v>官方全文/发布会</x:v>
      </x:c>
      <x:c r="D5" s="7" t="str">
        <x:v>报告图3a,b</x:v>
      </x:c>
      <x:c r="E5" s="7" t="str">
        <x:v>扩展2020—2022并结合原2023—2025数据</x:v>
      </x:c>
      <x:c r="F5" s="7" t="str">
        <x:v>注明政府数据来源</x:v>
      </x:c>
      <x:c r="G5" s="7" t="str">
        <x:v>2020份额用同源总销量计算</x:v>
      </x:c>
    </x:row>
    <x:row r="6" ht="64" customHeight="1">
      <x:c r="A6" s="7" t="str">
        <x:v>L21</x:v>
      </x:c>
      <x:c r="B6" s="7" t="str">
        <x:v>精益拆解系统综述</x:v>
      </x:c>
      <x:c r="C6" s="7" t="str">
        <x:v>31篇样本；表2—4</x:v>
      </x:c>
      <x:c r="D6" s="7" t="str">
        <x:v>第2.1节；图14d的方法启示</x:v>
      </x:c>
      <x:c r="E6" s="7" t="str">
        <x:v>吸收参数分解和比较思路；不复制图像或移用效果数据</x:v>
      </x:c>
      <x:c r="F6" s="7" t="str">
        <x:v>CC BY 4.0</x:v>
      </x:c>
      <x:c r="G6" s="7" t="str">
        <x:v>检索截至2024-12-06，非我国网点运行样本</x:v>
      </x:c>
    </x:row>
    <x:row r="7" ht="64" customHeight="1">
      <x:c r="A7" s="7" t="str">
        <x:v>L22</x:v>
      </x:c>
      <x:c r="B7" s="7" t="str">
        <x:v>物料组成与粒级分析</x:v>
      </x:c>
      <x:c r="C7" s="7" t="str">
        <x:v>Fig.9</x:v>
      </x:c>
      <x:c r="D7" s="7" t="str">
        <x:v>报告图16A—D</x:v>
      </x:c>
      <x:c r="E7" s="7" t="str">
        <x:v>完整原图，等比例显示</x:v>
      </x:c>
      <x:c r="F7" s="7" t="str">
        <x:v>CC BY 4.0</x:v>
      </x:c>
      <x:c r="G7" s="7" t="str">
        <x:v>特定滑板车破碎料；原图MNC-811标签保留</x:v>
      </x:c>
    </x:row>
    <x:row r="8" ht="76" customHeight="1">
      <x:c r="A8" s="7" t="str">
        <x:v>P09</x:v>
      </x:c>
      <x:c r="B8" s="7" t="str">
        <x:v>规章官方来源标识</x:v>
      </x:c>
      <x:c r="C8" s="7" t="str">
        <x:v>规章库标识；正文标题、文号及日期</x:v>
      </x:c>
      <x:c r="D8" s="7" t="str">
        <x:v>报告图1</x:v>
      </x:c>
      <x:c r="E8" s="7" t="str">
        <x:v>官方标识原图；文件表头据原文重排，非原页面截图</x:v>
      </x:c>
      <x:c r="F8" s="7" t="str">
        <x:v>注明政府来源</x:v>
      </x:c>
      <x:c r="G8" s="7" t="str">
        <x:v>表头只作资料导读，义务分析仍以完整条文为准</x:v>
      </x:c>
    </x:row>
    <x:row r="9" ht="76" customHeight="1">
      <x:c r="A9" s="7" t="str">
        <x:v>作者资料库</x:v>
      </x:c>
      <x:c r="B9" s="7" t="str">
        <x:v>在线研究入口</x:v>
      </x:c>
      <x:c r="C9" s="7" t="str">
        <x:v>公开网站及82条资料记录</x:v>
      </x:c>
      <x:c r="D9" s="7" t="str">
        <x:v>报告图2</x:v>
      </x:c>
      <x:c r="E9" s="7" t="str">
        <x:v>R绘制导读图；真实QR编码并独立解码核验</x:v>
      </x:c>
      <x:c r="F9" s="7" t="str">
        <x:v>作者绘制；所链原文各依其许可</x:v>
      </x:c>
      <x:c r="G9" s="7" t="str">
        <x:v>二维码对应公开网站，检索截至2026-10-20</x:v>
      </x:c>
    </x:row>
  </x:sheetData>
  <x:pageMargins left="0.7" right="0.7" top="0.75" bottom="0.75" header="0.3" footer="0.3"/>
  <x:tableParts count="1">
    <x:tablePart xmlns:r="http://schemas.openxmlformats.org/officeDocument/2006/relationships" r:id="R7134aea09a554efd"/>
  </x:tableParts>
</x:worksheet>
</file>